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4745444996ccfac/Desktop/INTERN/"/>
    </mc:Choice>
  </mc:AlternateContent>
  <xr:revisionPtr revIDLastSave="1" documentId="11_6BB3BBD18A47C7D556A27A2807CADDFA0BF80975" xr6:coauthVersionLast="47" xr6:coauthVersionMax="47" xr10:uidLastSave="{71D95E07-3541-4D51-B306-876EA71F33FD}"/>
  <bookViews>
    <workbookView xWindow="-110" yWindow="-110" windowWidth="19420" windowHeight="10300" xr2:uid="{00000000-000D-0000-FFFF-FFFF00000000}"/>
  </bookViews>
  <sheets>
    <sheet name="Tổng quan" sheetId="1" r:id="rId1"/>
    <sheet name="Checklist" sheetId="2" r:id="rId2"/>
    <sheet name="Kỹ thuật báo cáo" sheetId="3" r:id="rId3"/>
    <sheet name="Test cases" sheetId="4" r:id="rId4"/>
    <sheet name="API contract" sheetId="5" r:id="rId5"/>
  </sheets>
  <definedNames>
    <definedName name="_xlnm._FilterDatabase" localSheetId="4" hidden="1">'API contract'!$A$1:$F$8</definedName>
    <definedName name="_xlnm._FilterDatabase" localSheetId="1" hidden="1">Checklist!$A$1:$I$33</definedName>
    <definedName name="_xlnm._FilterDatabase" localSheetId="2" hidden="1">'Kỹ thuật báo cáo'!$A$1:$F$13</definedName>
    <definedName name="_xlnm._FilterDatabase" localSheetId="3" hidden="1">'Test cases'!$A$1:$H$23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 r="B21" i="1" s="1"/>
</calcChain>
</file>

<file path=xl/sharedStrings.xml><?xml version="1.0" encoding="utf-8"?>
<sst xmlns="http://schemas.openxmlformats.org/spreadsheetml/2006/main" count="584" uniqueCount="434">
  <si>
    <t>KẾ HOẠCH PHẦN BACKEND LÕI — ỨNG DỤNG PHIÊN DỊCH ANH–VIỆT</t>
  </si>
  <si>
    <t>Mục tiêu</t>
  </si>
  <si>
    <t>Xây backend có thể nhận segment văn bản đã được ASR nhận dạng, điều phối dịch Anh↔Việt, quản lý trạng thái phiên, lưu transcript, phục hồi lỗi và xuất transcript cuối phiên cho module T5.</t>
  </si>
  <si>
    <t>Phạm vi hiện tại</t>
  </si>
  <si>
    <t>Chỉ tập trung vào luồng API/backend. Chưa xây giao diện web/app, chưa tích hợp microphone/ASR thật, chưa tự triển khai T5 và chưa xây multi-agent phân tán.</t>
  </si>
  <si>
    <t>Nguyên tắc kiến trúc</t>
  </si>
  <si>
    <t>RAM = bộ nhớ làm việc nhanh; SQLite = lưu trữ bền vững; Gemini = dịch từng segment và/hoặc hiệu chỉnh transcript cuối phiên. Không xem memory của LLM là kho dữ liệu của ứng dụng.</t>
  </si>
  <si>
    <t>Stack đề xuất</t>
  </si>
  <si>
    <t>Python · FastAPI · Pydantic · Gemini SDK/API chính thức · SQLite (sqlite3 hoặc SQLAlchemy) · pytest · logging có cấu trúc.</t>
  </si>
  <si>
    <t>Đầu vào phiên bản đầu</t>
  </si>
  <si>
    <t>Văn bản đã nhận dạng (giả lập bằng API request), source_language, target_language, session_id, segment_id, sequence_number, is_final.</t>
  </si>
  <si>
    <t>Đầu ra phiên bản đầu</t>
  </si>
  <si>
    <t>Schema JSON ổn định gồm câu gốc, bản dịch, ngôn ngữ, ID, thứ tự, trạng thái, thời gian xử lý và thông tin lỗi nếu có.</t>
  </si>
  <si>
    <t>Giá trị kỹ thuật cần chứng minh</t>
  </si>
  <si>
    <t>Không chỉ gọi API: API contract/schema validation; prompt engineering có kiểm soát; state machine; idempotency; ordering; context management; retry/backoff; persistence/recovery; transcript assembly; test automation; latency/error metrics.</t>
  </si>
  <si>
    <t>Tiêu chí nghiệm thu lõi</t>
  </si>
  <si>
    <t>Hai chiều dịch chạy được; request sai bị từ chối đúng; segment không bị lưu trùng; thứ tự transcript chính xác; session không lẫn dữ liệu; lỗi model không làm mất câu gốc; server restart vẫn đọc được dữ liệu đã lưu.</t>
  </si>
  <si>
    <t>Cách làm việc</t>
  </si>
  <si>
    <t>Đi từng giai đoạn. Mỗi giai đoạn có mã do người học tự chạy, output mong đợi, test và bằng chứng. Không tích hợp ASR/T5/UI trước khi luồng backend văn bản ổn định.</t>
  </si>
  <si>
    <t>Cảnh báo thiết kế</t>
  </si>
  <si>
    <t>Khoảng lặng/lấy hơi không tự động đồng nghĩa kết thúc câu. Ưu tiên tín hiệu final từ ASR; endpointing/VAD thuộc tầng nhận dạng âm thanh. Không gửi mọi partial update lên Gemini nếu không có chiến lược preview.</t>
  </si>
  <si>
    <t>Ghi chú về model</t>
  </si>
  <si>
    <t>Không khóa kiến trúc vào một model ID cố định. Đưa model vào cấu hình và kiểm tra tài liệu Google hiện hành về model, quota, structured output, giá và vòng đời trước khi triển khai.</t>
  </si>
  <si>
    <t>Theo dõi tiến độ checklist</t>
  </si>
  <si>
    <t>Giá trị tự cập nhật từ sheet Checklist</t>
  </si>
  <si>
    <t>Tổng hạng mục</t>
  </si>
  <si>
    <t>Đạt</t>
  </si>
  <si>
    <t>Đang làm</t>
  </si>
  <si>
    <t>Chưa bắt đầu</t>
  </si>
  <si>
    <t>Không đạt</t>
  </si>
  <si>
    <t>Tỷ lệ hoàn thành</t>
  </si>
  <si>
    <t>ID</t>
  </si>
  <si>
    <t>Giai đoạn</t>
  </si>
  <si>
    <t>Hạng mục</t>
  </si>
  <si>
    <t>Việc cần làm / đầu ra cụ thể</t>
  </si>
  <si>
    <t>Ưu tiên</t>
  </si>
  <si>
    <t>Phụ thuộc</t>
  </si>
  <si>
    <t>Trạng thái</t>
  </si>
  <si>
    <t>Bằng chứng hoàn thành</t>
  </si>
  <si>
    <t>Ghi chú / lỗi phát hiện</t>
  </si>
  <si>
    <t>S01</t>
  </si>
  <si>
    <t>0. Chốt yêu cầu</t>
  </si>
  <si>
    <t>Phạm vi MVP</t>
  </si>
  <si>
    <t>Chốt đầu vào giai đoạn đầu là văn bản đã nhận dạng, chưa phải audio thô.</t>
  </si>
  <si>
    <t>Cao</t>
  </si>
  <si>
    <t>—</t>
  </si>
  <si>
    <t>Tài liệu phạm vi 1 trang</t>
  </si>
  <si>
    <t>S02</t>
  </si>
  <si>
    <t>Định nghĩa segment</t>
  </si>
  <si>
    <t>Định nghĩa session_id, segment_id, sequence_number, source/target language, is_final.</t>
  </si>
  <si>
    <t>Ví dụ JSON request/response</t>
  </si>
  <si>
    <t>S03</t>
  </si>
  <si>
    <t>Tiêu chí chất lượng</t>
  </si>
  <si>
    <t>Đặt tiêu chí latency, tỷ lệ lỗi, tỷ lệ output hợp lệ và chất lượng dịch.</t>
  </si>
  <si>
    <t>Bảng tiêu chí đo</t>
  </si>
  <si>
    <t>S04</t>
  </si>
  <si>
    <t>1. Môi trường</t>
  </si>
  <si>
    <t>Python và venv</t>
  </si>
  <si>
    <t>Tạo môi trường ảo, chọn phiên bản Python và ghi dependencies.</t>
  </si>
  <si>
    <t>Server chạy trong venv</t>
  </si>
  <si>
    <t>S05</t>
  </si>
  <si>
    <t>Cấu hình bí mật</t>
  </si>
  <si>
    <t>Đọc API key từ biến môi trường/.env; thêm .env vào .gitignore.</t>
  </si>
  <si>
    <t>Không có key trong source control/log</t>
  </si>
  <si>
    <t>S06</t>
  </si>
  <si>
    <t>FastAPI health-check</t>
  </si>
  <si>
    <t>Tạo app tối thiểu và GET /health trước khi gọi Gemini.</t>
  </si>
  <si>
    <t>HTTP 200 từ /health</t>
  </si>
  <si>
    <t>S07</t>
  </si>
  <si>
    <t>2. API contract</t>
  </si>
  <si>
    <t>Pydantic schema</t>
  </si>
  <si>
    <t>Validate trường bắt buộc, loại dữ liệu, ngôn ngữ hợp lệ, độ dài text.</t>
  </si>
  <si>
    <t>S02,S06</t>
  </si>
  <si>
    <t>Unit tests cho schema</t>
  </si>
  <si>
    <t>S08</t>
  </si>
  <si>
    <t>Schema phản hồi</t>
  </si>
  <si>
    <t>Định nghĩa JSON response/error nhất quán, có IDs, status, latency.</t>
  </si>
  <si>
    <t>OpenAPI hiển thị schema</t>
  </si>
  <si>
    <t>S09</t>
  </si>
  <si>
    <t>3. Gemini</t>
  </si>
  <si>
    <t>Translation service</t>
  </si>
  <si>
    <t>Tạo lớp riêng gọi Gemini; model ID đọc từ config, không hardcode rải rác.</t>
  </si>
  <si>
    <t>S05,S07</t>
  </si>
  <si>
    <t>Dịch thử en→vi và vi→en</t>
  </si>
  <si>
    <t>S10</t>
  </si>
  <si>
    <t>Prompt dịch</t>
  </si>
  <si>
    <t>Thiết kế prompt giữ ý, tên riêng, số liệu, thuật ngữ; không trả lời nội dung transcript.</t>
  </si>
  <si>
    <t>Bộ ví dụ prompt và kết quả</t>
  </si>
  <si>
    <t>S11</t>
  </si>
  <si>
    <t>Structured output + validation</t>
  </si>
  <si>
    <t>Dùng JSON/schema nếu model/API hỗ trợ; validate phía backend dù model yêu cầu output có cấu trúc.</t>
  </si>
  <si>
    <t>S08,S09</t>
  </si>
  <si>
    <t>Test output rỗng/sai schema</t>
  </si>
  <si>
    <t>S12</t>
  </si>
  <si>
    <t>Timeout và retry</t>
  </si>
  <si>
    <t>Timeout rõ ràng; retry có giới hạn, exponential backoff+jitter cho lỗi tạm thời; không retry vô hạn.</t>
  </si>
  <si>
    <t>Mock lỗi 429/503/timeout</t>
  </si>
  <si>
    <t>S13</t>
  </si>
  <si>
    <t>4. State &amp; ordering</t>
  </si>
  <si>
    <t>State machine segment</t>
  </si>
  <si>
    <t>Định nghĩa trạng thái received/translating/completed/failed và quy tắc chuyển trạng thái.</t>
  </si>
  <si>
    <t>S07,S09</t>
  </si>
  <si>
    <t>Test transition hợp lệ/không hợp lệ</t>
  </si>
  <si>
    <t>S14</t>
  </si>
  <si>
    <t>Partial vs final</t>
  </si>
  <si>
    <t>Không coi partial là bản chính thức; xác định hành vi khi nhận final của cùng segment.</t>
  </si>
  <si>
    <t>S02,S13</t>
  </si>
  <si>
    <t>Test partial→final</t>
  </si>
  <si>
    <t>S15</t>
  </si>
  <si>
    <t>Idempotency</t>
  </si>
  <si>
    <t>Gửi lại cùng session_id+segment_id không tạo bản ghi/bản dịch trùng ngoài ý muốn.</t>
  </si>
  <si>
    <t>S13,S17</t>
  </si>
  <si>
    <t>Test gửi trùng 2 lần</t>
  </si>
  <si>
    <t>S16</t>
  </si>
  <si>
    <t>Thứ tự câu</t>
  </si>
  <si>
    <t>Sắp xếp theo sequence_number, không theo thời điểm request hoàn thành.</t>
  </si>
  <si>
    <t>S02,S17</t>
  </si>
  <si>
    <t>Test response hoàn thành lệch thứ tự</t>
  </si>
  <si>
    <t>S17</t>
  </si>
  <si>
    <t>5. Persistence</t>
  </si>
  <si>
    <t>SQLite repository</t>
  </si>
  <si>
    <t>Lưu session, segment gốc, bản dịch, sequence, status, timestamp, error.</t>
  </si>
  <si>
    <t>Đọc/ghi được bản ghi</t>
  </si>
  <si>
    <t>S18</t>
  </si>
  <si>
    <t>Transaction và constraint</t>
  </si>
  <si>
    <t>Dùng transaction; unique constraint phù hợp để giảm ghi trùng; chỉ completed sau khi lưu kết quả hợp lệ.</t>
  </si>
  <si>
    <t>S17,S13</t>
  </si>
  <si>
    <t>Test rollback/duplicate</t>
  </si>
  <si>
    <t>S19</t>
  </si>
  <si>
    <t>Khôi phục sau restart</t>
  </si>
  <si>
    <t>Dừng server, chạy lại, đọc lại session và nhận biết segment chưa hoàn tất.</t>
  </si>
  <si>
    <t>S17,S18</t>
  </si>
  <si>
    <t>Bằng chứng trước/sau restart</t>
  </si>
  <si>
    <t>S20</t>
  </si>
  <si>
    <t>6. Context</t>
  </si>
  <si>
    <t>Context policy</t>
  </si>
  <si>
    <t>Chỉ gửi context liên quan như thuật ngữ/tên riêng; đặt giới hạn kích thước; không gửi toàn bộ lịch sử vô điều kiện.</t>
  </si>
  <si>
    <t>Trung bình</t>
  </si>
  <si>
    <t>S09,S17</t>
  </si>
  <si>
    <t>Tài liệu policy + test</t>
  </si>
  <si>
    <t>S21</t>
  </si>
  <si>
    <t>Test giữ ngữ cảnh</t>
  </si>
  <si>
    <t>Tạo bộ câu liên tiếp có đại từ/thuật ngữ nhất quán; so sánh dịch độc lập với dịch có context.</t>
  </si>
  <si>
    <t>Bảng kết quả đánh giá</t>
  </si>
  <si>
    <t>S22</t>
  </si>
  <si>
    <t>7. Transcript</t>
  </si>
  <si>
    <t>Assembler</t>
  </si>
  <si>
    <t>Truy vấn segment theo sequence_number, phát hiện thiếu/trùng/failed trước khi ghép.</t>
  </si>
  <si>
    <t>S16,S17</t>
  </si>
  <si>
    <t>Transcript fixture đúng thứ tự</t>
  </si>
  <si>
    <t>S23</t>
  </si>
  <si>
    <t>Finish session</t>
  </si>
  <si>
    <t>Đóng phiên có kiểm soát; xử lý segment đang chạy; ngăn nhận mới theo quy tắc đã định.</t>
  </si>
  <si>
    <t>S13,S22</t>
  </si>
  <si>
    <t>Test finish khi đang dịch</t>
  </si>
  <si>
    <t>S24</t>
  </si>
  <si>
    <t>Đầu vào cho T5</t>
  </si>
  <si>
    <t>Xuất transcript có cấu trúc ổn định cho thành viên phụ trách T5; giữ bản gốc và bản dịch riêng.</t>
  </si>
  <si>
    <t>S22,S23</t>
  </si>
  <si>
    <t>Payload mẫu cho Thắng</t>
  </si>
  <si>
    <t>S25</t>
  </si>
  <si>
    <t>8. API bàn giao</t>
  </si>
  <si>
    <t>Endpoint sessions</t>
  </si>
  <si>
    <t>Tạo session, nhận segment, đọc status, lấy transcript, finish session.</t>
  </si>
  <si>
    <t>S06,S08,S17,S23</t>
  </si>
  <si>
    <t>Swagger + curl examples</t>
  </si>
  <si>
    <t>S26</t>
  </si>
  <si>
    <t>Tài liệu tích hợp</t>
  </si>
  <si>
    <t>Viết API contract, error codes, schema và ví dụ cho Thiện/Linh/Thắng/Ngọc.</t>
  </si>
  <si>
    <t>README/API guide</t>
  </si>
  <si>
    <t>S27</t>
  </si>
  <si>
    <t>9. Kiểm thử</t>
  </si>
  <si>
    <t>Unit tests</t>
  </si>
  <si>
    <t>Test validator, prompt builder, parser, state transitions, transcript assembler.</t>
  </si>
  <si>
    <t>S07,S10,S13,S22</t>
  </si>
  <si>
    <t>pytest report</t>
  </si>
  <si>
    <t>S28</t>
  </si>
  <si>
    <t>Integration tests</t>
  </si>
  <si>
    <t>Mock Gemini cho test lặp lại; test Gemini thật có kiểm soát chi phí/quota.</t>
  </si>
  <si>
    <t>S09,S12,S25</t>
  </si>
  <si>
    <t>Test report</t>
  </si>
  <si>
    <t>S29</t>
  </si>
  <si>
    <t>Concurrent sessions</t>
  </si>
  <si>
    <t>Hai phiên xen kẽ không lẫn transcript/context; request hoàn thành sai thứ tự vẫn ghép đúng.</t>
  </si>
  <si>
    <t>S16,S17,S20</t>
  </si>
  <si>
    <t>Test logs/assertions</t>
  </si>
  <si>
    <t>S30</t>
  </si>
  <si>
    <t>10. Đo lường</t>
  </si>
  <si>
    <t>Latency và error metrics</t>
  </si>
  <si>
    <t>Ghi thời gian nhận, thời gian gọi model, tổng latency, retry count, error class.</t>
  </si>
  <si>
    <t>S12,S25</t>
  </si>
  <si>
    <t>Bảng median/p95 nếu đủ mẫu</t>
  </si>
  <si>
    <t>S31</t>
  </si>
  <si>
    <t>10. An toàn</t>
  </si>
  <si>
    <t>Giới hạn và logging</t>
  </si>
  <si>
    <t>Giới hạn độ dài/tần suất; không log API key; kiểm soát log transcript nhạy cảm.</t>
  </si>
  <si>
    <t>S05,S25</t>
  </si>
  <si>
    <t>Checklist security review</t>
  </si>
  <si>
    <t>S32</t>
  </si>
  <si>
    <t>11. Bàn giao</t>
  </si>
  <si>
    <t>Bằng chứng báo cáo</t>
  </si>
  <si>
    <t>Lưu sơ đồ kiến trúc, state machine, test cases, kết quả benchmark và giới hạn còn lại.</t>
  </si>
  <si>
    <t>S26,S27,S28,S30</t>
  </si>
  <si>
    <t>Thư mục evidence báo cáo</t>
  </si>
  <si>
    <t>KỸ THUẬT</t>
  </si>
  <si>
    <t>BẠN THỰC HIỆN CỤ THỂ</t>
  </si>
  <si>
    <t>VẤN ĐỀ GIẢI QUYẾT</t>
  </si>
  <si>
    <t>CÁCH CHỨNG MINH / DEMO</t>
  </si>
  <si>
    <t>SỐ LIỆU NÊN THU</t>
  </si>
  <si>
    <t>GIÁ TRỊ TRÌNH BÀY</t>
  </si>
  <si>
    <t>API contract + Pydantic validation</t>
  </si>
  <si>
    <t>Thiết kế request/response schema; kiểm tra trường bắt buộc, ngôn ngữ, độ dài, kiểu dữ liệu.</t>
  </si>
  <si>
    <t>Request lỗi gây crash hoặc đầu vào không nhất quán giữa frontend/backend.</t>
  </si>
  <si>
    <t>Gửi request đúng/sai qua Swagger hoặc curl; xem status code và body lỗi.</t>
  </si>
  <si>
    <t>Tỷ lệ request sai bị chặn đúng; số schema test pass.</t>
  </si>
  <si>
    <t>Thiết kế giao diện tích hợp ổn định giữa các thành viên; validation có thể kiểm thử.</t>
  </si>
  <si>
    <t>Prompt engineering có kiểm soát</t>
  </si>
  <si>
    <t>Tạo prompt dịch theo cặp ngôn ngữ, quy tắc giữ tên riêng/số liệu/thuật ngữ; quản lý version prompt.</t>
  </si>
  <si>
    <t>Dịch sai mục tiêu, thêm lời giải thích, thay đổi tên/số liệu.</t>
  </si>
  <si>
    <t>Bộ test cố định gồm câu ngắn/dài, thuật ngữ, tên riêng, số; so sánh các phiên bản prompt.</t>
  </si>
  <si>
    <t>Tỷ lệ output đúng định dạng; đánh giá chất lượng theo rubric.</t>
  </si>
  <si>
    <t>Thực nghiệm prompt có phương pháp, không chỉ chỉnh tham số ngẫu nhiên.</t>
  </si>
  <si>
    <t>Structured output + output validation</t>
  </si>
  <si>
    <t>Yêu cầu JSON/schema nếu hỗ trợ; parse và validate kết quả; từ chối output rỗng hoặc sai trường.</t>
  </si>
  <si>
    <t>LLM trả markdown, lời giải thích thừa, thiếu trường hoặc sai ngôn ngữ.</t>
  </si>
  <si>
    <t>Mock các kiểu output lỗi và xác nhận backend xử lý an toàn.</t>
  </si>
  <si>
    <t>Tỷ lệ output vượt schema; số lỗi parser được bắt.</t>
  </si>
  <si>
    <t>Xây lớp bảo vệ giữa đầu ra không chắc chắn của LLM và hệ thống.</t>
  </si>
  <si>
    <t>State machine</t>
  </si>
  <si>
    <t>Định nghĩa trạng thái session/segment và luật chuyển trạng thái.</t>
  </si>
  <si>
    <t>Segment chuyển trạng thái sai; đóng phiên khi còn tác vụ chưa xong.</t>
  </si>
  <si>
    <t>Vẽ state diagram; test các chuyển trạng thái hợp lệ và bị cấm.</t>
  </si>
  <si>
    <t>Số test trạng thái pass; lỗi chuyển trạng thái phát hiện.</t>
  </si>
  <si>
    <t>Thiết kế workflow rõ ràng, có thể giải thích và kiểm chứng.</t>
  </si>
  <si>
    <t>Idempotency + chống trùng</t>
  </si>
  <si>
    <t>Dùng ID ổn định và constraint; request lặp không tạo segment mới ngoài ý muốn.</t>
  </si>
  <si>
    <t>Client retry hoặc mạng chập chờn khiến một câu xuất hiện nhiều lần.</t>
  </si>
  <si>
    <t>Gửi cùng request 2–3 lần; kiểm tra số bản ghi và phản hồi.</t>
  </si>
  <si>
    <t>Số bản ghi sau request lặp; tỷ lệ duplicate.</t>
  </si>
  <si>
    <t>Đảm bảo độ tin cậy ở luồng mạng không ổn định.</t>
  </si>
  <si>
    <t>Ordering / xử lý bất đồng bộ</t>
  </si>
  <si>
    <t>Gắn sequence_number; tách thứ tự câu khỏi thứ tự hoàn thành request.</t>
  </si>
  <si>
    <t>Câu dài dịch xong sau câu ngắn làm transcript bị đảo.</t>
  </si>
  <si>
    <t>Giả lập request thứ 2 hoàn tất trước request thứ 1; xác nhận output vẫn đúng thứ tự.</t>
  </si>
  <si>
    <t>Tỷ lệ transcript đúng thứ tự trong test.</t>
  </si>
  <si>
    <t>Xử lý một vấn đề thực tế của hệ thống realtime/concurrent.</t>
  </si>
  <si>
    <t>Context management</t>
  </si>
  <si>
    <t>Thiết kế policy chỉ gửi context cần thiết; quản lý thuật ngữ; giới hạn context và test continuity.</t>
  </si>
  <si>
    <t>Đại từ/thuật ngữ dịch không nhất quán; context quá dài làm tăng chi phí/latency.</t>
  </si>
  <si>
    <t>So sánh câu dịch độc lập với dịch có context trên bộ ví dụ xuyên câu.</t>
  </si>
  <si>
    <t>Điểm nhất quán thuật ngữ; latency/token nếu API cung cấp.</t>
  </si>
  <si>
    <t>Đánh giá có đối chứng tác động của context thay vì khẳng định chung chung.</t>
  </si>
  <si>
    <t>Retry + exponential backoff</t>
  </si>
  <si>
    <t>Timeout; phân loại lỗi; retry có giới hạn với lỗi tạm thời; không retry lỗi auth/request cố định.</t>
  </si>
  <si>
    <t>429, 503, timeout hoặc lỗi mạng tạm thời.</t>
  </si>
  <si>
    <t>Mock 429 rồi thành công; mock 401 để xác nhận không retry vô ích.</t>
  </si>
  <si>
    <t>Số lần retry; tỷ lệ phục hồi; tổng thời gian chờ.</t>
  </si>
  <si>
    <t>Thiết kế khả năng phục hồi và kiểm soát chi phí.</t>
  </si>
  <si>
    <t>Persistence + recovery</t>
  </si>
  <si>
    <t>Lưu session/segment/trạng thái vào SQLite; transaction; truy xuất sau restart.</t>
  </si>
  <si>
    <t>RAM mất khi server dừng; transcript thiếu; khó tiếp tục segment lỗi.</t>
  </si>
  <si>
    <t>Dừng/khởi động server và kiểm tra dữ liệu; test segment đang failed.</t>
  </si>
  <si>
    <t>Số segment khôi phục; tỷ lệ bản ghi đầy đủ.</t>
  </si>
  <si>
    <t>Phân biệt bộ nhớ làm việc với lưu trữ bền vững.</t>
  </si>
  <si>
    <t>Transcript assembly + finish protocol</t>
  </si>
  <si>
    <t>Đọc segment theo thứ tự, kiểm tra thiếu/trùng/failed; đóng phiên có quy tắc.</t>
  </si>
  <si>
    <t>T5 nhận transcript thiếu hoặc đảo thứ tự; đóng phiên quá sớm.</t>
  </si>
  <si>
    <t>Tạo fixture có thiếu segment, duplicate, failed và kiểm tra báo cáo trạng thái.</t>
  </si>
  <si>
    <t>Số lỗi transcript phát hiện; tỷ lệ transcript đúng thứ tự/đủ câu.</t>
  </si>
  <si>
    <t>Xây pipeline dữ liệu đầu cuối và hợp đồng bàn giao rõ ràng.</t>
  </si>
  <si>
    <t>Observability + latency measurement</t>
  </si>
  <si>
    <t>Ghi structured logs, thời gian từng bước, mã lỗi, retry count; tránh log bí mật.</t>
  </si>
  <si>
    <t>Không biết chậm ở bước nào; không có bằng chứng đánh giá.</t>
  </si>
  <si>
    <t>Chạy bộ benchmark cố định và tổng hợp median/p95 nếu số mẫu đủ.</t>
  </si>
  <si>
    <t>Latency median/p95; tỷ lệ lỗi; retry count.</t>
  </si>
  <si>
    <t>Có số liệu thực nghiệm để bảo vệ lựa chọn kiến trúc.</t>
  </si>
  <si>
    <t>Automated tests</t>
  </si>
  <si>
    <t>Unit test logic; mock Gemini; integration test có kiểm soát.</t>
  </si>
  <si>
    <t>Lỗi hồi quy khi đổi prompt, schema hoặc logic session.</t>
  </si>
  <si>
    <t>Chạy pytest; lưu báo cáo test và test cases.</t>
  </si>
  <si>
    <t>Số test pass/fail; coverage nếu thiết lập.</t>
  </si>
  <si>
    <t>Chứng minh hệ thống bằng kiểm thử tái lập được.</t>
  </si>
  <si>
    <t>Test ID</t>
  </si>
  <si>
    <t>Nhóm kiểm thử</t>
  </si>
  <si>
    <t>Tình huống</t>
  </si>
  <si>
    <t>Đầu vào / cách thực hiện</t>
  </si>
  <si>
    <t>Kết quả mong đợi</t>
  </si>
  <si>
    <t>Mức độ</t>
  </si>
  <si>
    <t>Kết quả thực tế / bằng chứng</t>
  </si>
  <si>
    <t>T01</t>
  </si>
  <si>
    <t>Validation</t>
  </si>
  <si>
    <t>Request hợp lệ</t>
  </si>
  <si>
    <t>Gửi segment en→vi với đủ trường</t>
  </si>
  <si>
    <t>Chấp nhận request, trả response đúng schema</t>
  </si>
  <si>
    <t>Chưa chạy</t>
  </si>
  <si>
    <t>T02</t>
  </si>
  <si>
    <t>Thiếu text</t>
  </si>
  <si>
    <t>Gửi request thiếu text</t>
  </si>
  <si>
    <t>Trả 4xx; không gọi Gemini</t>
  </si>
  <si>
    <t>T03</t>
  </si>
  <si>
    <t>Ngôn ngữ không hỗ trợ</t>
  </si>
  <si>
    <t>Gửi source/target ngoài en/vi</t>
  </si>
  <si>
    <t>Từ chối rõ ràng; không gọi Gemini</t>
  </si>
  <si>
    <t>T04</t>
  </si>
  <si>
    <t>Text rỗng/khoảng trắng</t>
  </si>
  <si>
    <t>Gửi text rỗng hoặc toàn space</t>
  </si>
  <si>
    <t>Từ chối hoặc xử lý theo quy tắc đã định</t>
  </si>
  <si>
    <t>T05</t>
  </si>
  <si>
    <t>Translation</t>
  </si>
  <si>
    <t>Hai chiều dịch</t>
  </si>
  <si>
    <t>Chạy bộ câu en→vi và vi→en</t>
  </si>
  <si>
    <t>Ngôn ngữ đích đúng; output hợp schema</t>
  </si>
  <si>
    <t>T06</t>
  </si>
  <si>
    <t>Output</t>
  </si>
  <si>
    <t>Gemini trả output rỗng</t>
  </si>
  <si>
    <t>Mock response rỗng</t>
  </si>
  <si>
    <t>Không đánh dấu completed; ghi lỗi rõ ràng</t>
  </si>
  <si>
    <t>T07</t>
  </si>
  <si>
    <t>Gemini trả JSON sai</t>
  </si>
  <si>
    <t>Mock thiếu trường bắt buộc</t>
  </si>
  <si>
    <t>Validator bắt lỗi; không lưu bản dịch sai như completed</t>
  </si>
  <si>
    <t>T08</t>
  </si>
  <si>
    <t>Retry</t>
  </si>
  <si>
    <t>Lỗi 429 tạm thời</t>
  </si>
  <si>
    <t>Mock 429 rồi thành công</t>
  </si>
  <si>
    <t>Retry có giới hạn/backoff và cuối cùng thành công</t>
  </si>
  <si>
    <t>T09</t>
  </si>
  <si>
    <t>Lỗi 401/403</t>
  </si>
  <si>
    <t>Mock lỗi xác thực</t>
  </si>
  <si>
    <t>Không retry vô hạn; lỗi cấu hình được báo rõ</t>
  </si>
  <si>
    <t>T10</t>
  </si>
  <si>
    <t>Timeout</t>
  </si>
  <si>
    <t>Mock timeout quá hạn</t>
  </si>
  <si>
    <t>Request kết thúc trong giới hạn; segment giữ trạng thái phục hồi được</t>
  </si>
  <si>
    <t>T11</t>
  </si>
  <si>
    <t>Gửi trùng segment</t>
  </si>
  <si>
    <t>Gửi hai lần cùng session_id+segment_id</t>
  </si>
  <si>
    <t>Không tạo hai segment chính thức</t>
  </si>
  <si>
    <t>T12</t>
  </si>
  <si>
    <t>Ordering</t>
  </si>
  <si>
    <t>Hoàn thành lệch thứ tự</t>
  </si>
  <si>
    <t>Segment 2 hoàn thành trước segment 1</t>
  </si>
  <si>
    <t>Transcript cuối vẫn theo sequence_number</t>
  </si>
  <si>
    <t>T13</t>
  </si>
  <si>
    <t>Session</t>
  </si>
  <si>
    <t>Hai phiên đồng thời</t>
  </si>
  <si>
    <t>Gửi segment xen kẽ vào hai session</t>
  </si>
  <si>
    <t>Không lẫn câu hoặc context giữa session</t>
  </si>
  <si>
    <t>T14</t>
  </si>
  <si>
    <t>Partial/final</t>
  </si>
  <si>
    <t>Partial rồi final</t>
  </si>
  <si>
    <t>Gửi is_final=false rồi final cùng segment ID</t>
  </si>
  <si>
    <t>Chỉ có một bản chính thức; final thay thế provisional theo quy tắc</t>
  </si>
  <si>
    <t>T15</t>
  </si>
  <si>
    <t>Persistence</t>
  </si>
  <si>
    <t>Server restart</t>
  </si>
  <si>
    <t>Lưu vài segment, dừng và chạy lại</t>
  </si>
  <si>
    <t>Đọc lại được segment đã commit</t>
  </si>
  <si>
    <t>T16</t>
  </si>
  <si>
    <t>Finish</t>
  </si>
  <si>
    <t>Đóng khi còn request chạy</t>
  </si>
  <si>
    <t>Bắt đầu dịch rồi gọi finish</t>
  </si>
  <si>
    <t>Chờ trong giới hạn hoặc đánh dấu pending/failed rõ ràng; không mất câu im lặng</t>
  </si>
  <si>
    <t>T17</t>
  </si>
  <si>
    <t>Transcript</t>
  </si>
  <si>
    <t>Có segment failed</t>
  </si>
  <si>
    <t>Tạo transcript có một segment failed</t>
  </si>
  <si>
    <t>Không âm thầm bỏ; báo trạng thái và cho phép xử lý lại</t>
  </si>
  <si>
    <t>T18</t>
  </si>
  <si>
    <t>Context</t>
  </si>
  <si>
    <t>Thuật ngữ xuyên câu</t>
  </si>
  <si>
    <t>Dịch một chuỗi câu có cùng thuật ngữ/tên riêng</t>
  </si>
  <si>
    <t>Đánh giá consistency so với baseline không context</t>
  </si>
  <si>
    <t>T19</t>
  </si>
  <si>
    <t>Length</t>
  </si>
  <si>
    <t>Transcript dài</t>
  </si>
  <si>
    <t>Tạo nhiều segment theo phiên dài</t>
  </si>
  <si>
    <t>Không gửi vượt giới hạn trong một request; chia phần hoặc xử lý theo policy</t>
  </si>
  <si>
    <t>T20</t>
  </si>
  <si>
    <t>Performance</t>
  </si>
  <si>
    <t>Đo latency</t>
  </si>
  <si>
    <t>Chạy N request cố định trong môi trường ghi rõ</t>
  </si>
  <si>
    <t>Có số liệu median/p95 và điều kiện test</t>
  </si>
  <si>
    <t>T21</t>
  </si>
  <si>
    <t>Security</t>
  </si>
  <si>
    <t>API key trong log</t>
  </si>
  <si>
    <t>Chạy lỗi API và rà soát log</t>
  </si>
  <si>
    <t>Không có API key hoặc secret trong log</t>
  </si>
  <si>
    <t>T22</t>
  </si>
  <si>
    <t>Recovery</t>
  </si>
  <si>
    <t>Retry sau failed</t>
  </si>
  <si>
    <t>Tạo segment failed và yêu cầu xử lý lại</t>
  </si>
  <si>
    <t>Giữ nguyên câu gốc; retry không tạo bản ghi trùng</t>
  </si>
  <si>
    <t>Endpoint dự kiến</t>
  </si>
  <si>
    <t>Method</t>
  </si>
  <si>
    <t>Mục đích</t>
  </si>
  <si>
    <t>Đầu vào chính</t>
  </si>
  <si>
    <t>Đầu ra chính</t>
  </si>
  <si>
    <t>Lưu ý thiết kế</t>
  </si>
  <si>
    <t>/health</t>
  </si>
  <si>
    <t>GET</t>
  </si>
  <si>
    <t>Kiểm tra service sống</t>
  </si>
  <si>
    <t>Không cần</t>
  </si>
  <si>
    <t>status, version</t>
  </si>
  <si>
    <t>Không gọi Gemini; phục vụ kiểm tra service.</t>
  </si>
  <si>
    <t>/sessions</t>
  </si>
  <si>
    <t>POST</t>
  </si>
  <si>
    <t>Tạo phiên mới</t>
  </si>
  <si>
    <t>source_language, target_language, metadata tùy chọn</t>
  </si>
  <si>
    <t>session_id, status, created_at</t>
  </si>
  <si>
    <t>Session ID do backend tạo hoặc validate theo quy tắc.</t>
  </si>
  <si>
    <t>/sessions/{session_id}/segments</t>
  </si>
  <si>
    <t>Nhận segment và dịch nếu đủ điều kiện</t>
  </si>
  <si>
    <t>segment_id, sequence_number, text, is_final, language fields</t>
  </si>
  <si>
    <t>IDs, source text, translation, status, latency, error nếu có</t>
  </si>
  <si>
    <t>Idempotency theo session+segment; không để response order quyết định transcript order.</t>
  </si>
  <si>
    <t>/sessions/{session_id}</t>
  </si>
  <si>
    <t>Đọc trạng thái phiên</t>
  </si>
  <si>
    <t>session_id</t>
  </si>
  <si>
    <t>status, segment counts, timestamps</t>
  </si>
  <si>
    <t>Không trả transcript dài nếu client chỉ cần trạng thái.</t>
  </si>
  <si>
    <t>/sessions/{session_id}/transcript</t>
  </si>
  <si>
    <t>Lấy transcript có thứ tự</t>
  </si>
  <si>
    <t>Danh sách segment gốc/dịch/status theo sequence</t>
  </si>
  <si>
    <t>Phải biểu diễn rõ segment failed hoặc thiếu.</t>
  </si>
  <si>
    <t>/sessions/{session_id}/finish</t>
  </si>
  <si>
    <t>Đóng phiên và kiểm tra segment đang xử lý</t>
  </si>
  <si>
    <t>session_id, tùy chọn finish policy</t>
  </si>
  <si>
    <t>status, transcript readiness, pending/failed counts</t>
  </si>
  <si>
    <t>Không báo hoàn tất nếu dữ liệu chưa được kiểm tra.</t>
  </si>
  <si>
    <t>/sessions/{session_id}/summary-input</t>
  </si>
  <si>
    <t>Bàn giao transcript cho T5</t>
  </si>
  <si>
    <t>Payload transcript đã chuẩn hóa</t>
  </si>
  <si>
    <t>Contract riêng với Thắng; không cần nhúng T5 vào translation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</si>
</sst>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b/>
      <sz val="16"/>
      <color rgb="FFFFFFFF"/>
      <name val="Aptos Display"/>
    </font>
    <font>
      <b/>
      <sz val="11"/>
      <color rgb="FF17365D"/>
      <name val="Aptos"/>
    </font>
    <font>
      <sz val="10"/>
      <name val="Aptos"/>
    </font>
    <font>
      <b/>
      <sz val="10"/>
      <color rgb="FFFFFFFF"/>
      <name val="Aptos"/>
    </font>
    <font>
      <sz val="10"/>
      <color rgb="FF202020"/>
      <name val="Aptos"/>
    </font>
    <font>
      <b/>
      <sz val="12"/>
      <color rgb="FFFFFFFF"/>
      <name val="Aptos"/>
    </font>
    <font>
      <b/>
      <sz val="11"/>
      <color rgb="FFFFFFFF"/>
      <name val="Aptos"/>
    </font>
    <font>
      <b/>
      <sz val="11"/>
      <name val="Aptos"/>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2">
    <xf numFmtId="0" fontId="0" fillId="0" borderId="0" xfId="0"/>
    <xf numFmtId="0" fontId="2" fillId="3" borderId="1" xfId="0" applyFont="1" applyFill="1" applyBorder="1" applyAlignment="1">
      <alignment vertical="top" wrapText="1"/>
    </xf>
    <xf numFmtId="0" fontId="3" fillId="0" borderId="1" xfId="0" applyFont="1" applyBorder="1" applyAlignment="1">
      <alignment vertical="top" wrapText="1"/>
    </xf>
    <xf numFmtId="0" fontId="6" fillId="4" borderId="0" xfId="0" applyFont="1" applyFill="1" applyAlignment="1">
      <alignment vertical="center"/>
    </xf>
    <xf numFmtId="0" fontId="7" fillId="4" borderId="0" xfId="0" applyFont="1" applyFill="1"/>
    <xf numFmtId="0" fontId="2" fillId="3" borderId="1" xfId="0" applyFont="1" applyFill="1" applyBorder="1" applyAlignment="1">
      <alignment vertical="center" wrapText="1"/>
    </xf>
    <xf numFmtId="0" fontId="8" fillId="0" borderId="1" xfId="0" applyFont="1" applyBorder="1" applyAlignment="1">
      <alignment vertical="center" wrapText="1"/>
    </xf>
    <xf numFmtId="9" fontId="8" fillId="0" borderId="1" xfId="0" applyNumberFormat="1" applyFont="1" applyBorder="1" applyAlignment="1">
      <alignment vertical="center" wrapText="1"/>
    </xf>
    <xf numFmtId="0" fontId="4" fillId="2" borderId="1" xfId="0" applyFont="1" applyFill="1" applyBorder="1" applyAlignment="1">
      <alignment vertical="center" wrapText="1"/>
    </xf>
    <xf numFmtId="0" fontId="5" fillId="0" borderId="1" xfId="0" applyFont="1" applyBorder="1" applyAlignment="1">
      <alignment vertical="top" wrapText="1"/>
    </xf>
    <xf numFmtId="0" fontId="1" fillId="2" borderId="0" xfId="0" applyFont="1" applyFill="1" applyAlignment="1">
      <alignment vertical="center" wrapText="1"/>
    </xf>
    <xf numFmtId="0" fontId="0" fillId="0" borderId="0" xfId="0"/>
  </cellXfs>
  <cellStyles count="1">
    <cellStyle name="Normal" xfId="0" builtinId="0"/>
  </cellStyles>
  <dxfs count="5">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1"/>
  <sheetViews>
    <sheetView showGridLines="0" tabSelected="1" zoomScale="85" workbookViewId="0">
      <pane ySplit="1" topLeftCell="A2" activePane="bottomLeft" state="frozen"/>
      <selection pane="bottomLeft" sqref="A1:B1"/>
    </sheetView>
  </sheetViews>
  <sheetFormatPr defaultRowHeight="14" x14ac:dyDescent="0.3"/>
  <cols>
    <col min="1" max="1" width="27" customWidth="1"/>
    <col min="2" max="2" width="112" customWidth="1"/>
  </cols>
  <sheetData>
    <row r="1" spans="1:2" ht="38" customHeight="1" x14ac:dyDescent="0.3">
      <c r="A1" s="10" t="s">
        <v>0</v>
      </c>
      <c r="B1" s="11"/>
    </row>
    <row r="2" spans="1:2" ht="48" customHeight="1" x14ac:dyDescent="0.3">
      <c r="A2" s="1" t="s">
        <v>1</v>
      </c>
      <c r="B2" s="2" t="s">
        <v>2</v>
      </c>
    </row>
    <row r="3" spans="1:2" ht="48" customHeight="1" x14ac:dyDescent="0.3">
      <c r="A3" s="1" t="s">
        <v>3</v>
      </c>
      <c r="B3" s="2" t="s">
        <v>4</v>
      </c>
    </row>
    <row r="4" spans="1:2" ht="48" customHeight="1" x14ac:dyDescent="0.3">
      <c r="A4" s="1" t="s">
        <v>5</v>
      </c>
      <c r="B4" s="2" t="s">
        <v>6</v>
      </c>
    </row>
    <row r="5" spans="1:2" ht="38" customHeight="1" x14ac:dyDescent="0.3">
      <c r="A5" s="1" t="s">
        <v>7</v>
      </c>
      <c r="B5" s="2" t="s">
        <v>8</v>
      </c>
    </row>
    <row r="6" spans="1:2" ht="38" customHeight="1" x14ac:dyDescent="0.3">
      <c r="A6" s="1" t="s">
        <v>9</v>
      </c>
      <c r="B6" s="2" t="s">
        <v>10</v>
      </c>
    </row>
    <row r="7" spans="1:2" ht="38" customHeight="1" x14ac:dyDescent="0.3">
      <c r="A7" s="1" t="s">
        <v>11</v>
      </c>
      <c r="B7" s="2" t="s">
        <v>12</v>
      </c>
    </row>
    <row r="8" spans="1:2" ht="48" customHeight="1" x14ac:dyDescent="0.3">
      <c r="A8" s="1" t="s">
        <v>13</v>
      </c>
      <c r="B8" s="2" t="s">
        <v>14</v>
      </c>
    </row>
    <row r="9" spans="1:2" ht="48" customHeight="1" x14ac:dyDescent="0.3">
      <c r="A9" s="1" t="s">
        <v>15</v>
      </c>
      <c r="B9" s="2" t="s">
        <v>16</v>
      </c>
    </row>
    <row r="10" spans="1:2" ht="48" customHeight="1" x14ac:dyDescent="0.3">
      <c r="A10" s="1" t="s">
        <v>17</v>
      </c>
      <c r="B10" s="2" t="s">
        <v>18</v>
      </c>
    </row>
    <row r="11" spans="1:2" ht="48" customHeight="1" x14ac:dyDescent="0.3">
      <c r="A11" s="1" t="s">
        <v>19</v>
      </c>
      <c r="B11" s="2" t="s">
        <v>20</v>
      </c>
    </row>
    <row r="12" spans="1:2" ht="48" customHeight="1" x14ac:dyDescent="0.3">
      <c r="A12" s="1" t="s">
        <v>21</v>
      </c>
      <c r="B12" s="2" t="s">
        <v>22</v>
      </c>
    </row>
    <row r="15" spans="1:2" ht="16" x14ac:dyDescent="0.35">
      <c r="A15" s="3" t="s">
        <v>23</v>
      </c>
      <c r="B15" s="4" t="s">
        <v>24</v>
      </c>
    </row>
    <row r="16" spans="1:2" ht="14.5" x14ac:dyDescent="0.3">
      <c r="A16" s="5" t="s">
        <v>25</v>
      </c>
      <c r="B16" s="6">
        <f>COUNTA(Checklist!A2:A33)</f>
        <v>32</v>
      </c>
    </row>
    <row r="17" spans="1:2" ht="14.5" x14ac:dyDescent="0.3">
      <c r="A17" s="5" t="s">
        <v>26</v>
      </c>
      <c r="B17" s="6">
        <f>COUNTIF(Checklist!G2:G33,"Đạt")</f>
        <v>0</v>
      </c>
    </row>
    <row r="18" spans="1:2" ht="14.5" x14ac:dyDescent="0.3">
      <c r="A18" s="5" t="s">
        <v>27</v>
      </c>
      <c r="B18" s="6">
        <f>COUNTIF(Checklist!G2:G33,"Đang làm")</f>
        <v>0</v>
      </c>
    </row>
    <row r="19" spans="1:2" ht="14.5" x14ac:dyDescent="0.3">
      <c r="A19" s="5" t="s">
        <v>28</v>
      </c>
      <c r="B19" s="6">
        <f>COUNTIF(Checklist!G2:G33,"Chưa bắt đầu")</f>
        <v>32</v>
      </c>
    </row>
    <row r="20" spans="1:2" ht="14.5" x14ac:dyDescent="0.3">
      <c r="A20" s="5" t="s">
        <v>29</v>
      </c>
      <c r="B20" s="6">
        <f>COUNTIF(Checklist!G2:G33,"Không đạt")</f>
        <v>0</v>
      </c>
    </row>
    <row r="21" spans="1:2" ht="14.5" x14ac:dyDescent="0.3">
      <c r="A21" s="5" t="s">
        <v>30</v>
      </c>
      <c r="B21" s="7">
        <f>IF(B16=0,0,B17/B16)</f>
        <v>0</v>
      </c>
    </row>
  </sheetData>
  <mergeCells count="1">
    <mergeCell ref="A1:B1"/>
  </mergeCells>
  <pageMargins left="0.25" right="0.25" top="0.5" bottom="0.5"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3"/>
  <sheetViews>
    <sheetView showGridLines="0" zoomScale="85" workbookViewId="0">
      <pane ySplit="1" topLeftCell="A2" activePane="bottomLeft" state="frozen"/>
      <selection pane="bottomLeft"/>
    </sheetView>
  </sheetViews>
  <sheetFormatPr defaultRowHeight="14" x14ac:dyDescent="0.3"/>
  <cols>
    <col min="1" max="1" width="8" customWidth="1"/>
    <col min="2" max="2" width="20" customWidth="1"/>
    <col min="3" max="3" width="25" customWidth="1"/>
    <col min="4" max="4" width="58" customWidth="1"/>
    <col min="5" max="5" width="13" customWidth="1"/>
    <col min="6" max="7" width="18" customWidth="1"/>
    <col min="8" max="8" width="34" customWidth="1"/>
    <col min="9" max="9" width="32" customWidth="1"/>
  </cols>
  <sheetData>
    <row r="1" spans="1:9" ht="32" customHeight="1" x14ac:dyDescent="0.3">
      <c r="A1" s="8" t="s">
        <v>31</v>
      </c>
      <c r="B1" s="8" t="s">
        <v>32</v>
      </c>
      <c r="C1" s="8" t="s">
        <v>33</v>
      </c>
      <c r="D1" s="8" t="s">
        <v>34</v>
      </c>
      <c r="E1" s="8" t="s">
        <v>35</v>
      </c>
      <c r="F1" s="8" t="s">
        <v>36</v>
      </c>
      <c r="G1" s="8" t="s">
        <v>37</v>
      </c>
      <c r="H1" s="8" t="s">
        <v>38</v>
      </c>
      <c r="I1" s="8" t="s">
        <v>39</v>
      </c>
    </row>
    <row r="2" spans="1:9" x14ac:dyDescent="0.3">
      <c r="A2" s="9" t="s">
        <v>40</v>
      </c>
      <c r="B2" s="9" t="s">
        <v>41</v>
      </c>
      <c r="C2" s="9" t="s">
        <v>42</v>
      </c>
      <c r="D2" s="9" t="s">
        <v>43</v>
      </c>
      <c r="E2" s="9" t="s">
        <v>44</v>
      </c>
      <c r="F2" s="9" t="s">
        <v>45</v>
      </c>
      <c r="G2" s="9" t="s">
        <v>28</v>
      </c>
      <c r="H2" s="9" t="s">
        <v>46</v>
      </c>
      <c r="I2" s="9"/>
    </row>
    <row r="3" spans="1:9" ht="26" x14ac:dyDescent="0.3">
      <c r="A3" s="9" t="s">
        <v>47</v>
      </c>
      <c r="B3" s="9" t="s">
        <v>41</v>
      </c>
      <c r="C3" s="9" t="s">
        <v>48</v>
      </c>
      <c r="D3" s="9" t="s">
        <v>49</v>
      </c>
      <c r="E3" s="9" t="s">
        <v>44</v>
      </c>
      <c r="F3" s="9" t="s">
        <v>40</v>
      </c>
      <c r="G3" s="9" t="s">
        <v>28</v>
      </c>
      <c r="H3" s="9" t="s">
        <v>50</v>
      </c>
      <c r="I3" s="9"/>
    </row>
    <row r="4" spans="1:9" x14ac:dyDescent="0.3">
      <c r="A4" s="9" t="s">
        <v>51</v>
      </c>
      <c r="B4" s="9" t="s">
        <v>41</v>
      </c>
      <c r="C4" s="9" t="s">
        <v>52</v>
      </c>
      <c r="D4" s="9" t="s">
        <v>53</v>
      </c>
      <c r="E4" s="9" t="s">
        <v>44</v>
      </c>
      <c r="F4" s="9" t="s">
        <v>40</v>
      </c>
      <c r="G4" s="9" t="s">
        <v>28</v>
      </c>
      <c r="H4" s="9" t="s">
        <v>54</v>
      </c>
      <c r="I4" s="9"/>
    </row>
    <row r="5" spans="1:9" x14ac:dyDescent="0.3">
      <c r="A5" s="9" t="s">
        <v>55</v>
      </c>
      <c r="B5" s="9" t="s">
        <v>56</v>
      </c>
      <c r="C5" s="9" t="s">
        <v>57</v>
      </c>
      <c r="D5" s="9" t="s">
        <v>58</v>
      </c>
      <c r="E5" s="9" t="s">
        <v>44</v>
      </c>
      <c r="F5" s="9" t="s">
        <v>45</v>
      </c>
      <c r="G5" s="9" t="s">
        <v>28</v>
      </c>
      <c r="H5" s="9" t="s">
        <v>59</v>
      </c>
      <c r="I5" s="9"/>
    </row>
    <row r="6" spans="1:9" x14ac:dyDescent="0.3">
      <c r="A6" s="9" t="s">
        <v>60</v>
      </c>
      <c r="B6" s="9" t="s">
        <v>56</v>
      </c>
      <c r="C6" s="9" t="s">
        <v>61</v>
      </c>
      <c r="D6" s="9" t="s">
        <v>62</v>
      </c>
      <c r="E6" s="9" t="s">
        <v>44</v>
      </c>
      <c r="F6" s="9" t="s">
        <v>55</v>
      </c>
      <c r="G6" s="9" t="s">
        <v>28</v>
      </c>
      <c r="H6" s="9" t="s">
        <v>63</v>
      </c>
      <c r="I6" s="9"/>
    </row>
    <row r="7" spans="1:9" x14ac:dyDescent="0.3">
      <c r="A7" s="9" t="s">
        <v>64</v>
      </c>
      <c r="B7" s="9" t="s">
        <v>56</v>
      </c>
      <c r="C7" s="9" t="s">
        <v>65</v>
      </c>
      <c r="D7" s="9" t="s">
        <v>66</v>
      </c>
      <c r="E7" s="9" t="s">
        <v>44</v>
      </c>
      <c r="F7" s="9" t="s">
        <v>55</v>
      </c>
      <c r="G7" s="9" t="s">
        <v>28</v>
      </c>
      <c r="H7" s="9" t="s">
        <v>67</v>
      </c>
      <c r="I7" s="9"/>
    </row>
    <row r="8" spans="1:9" x14ac:dyDescent="0.3">
      <c r="A8" s="9" t="s">
        <v>68</v>
      </c>
      <c r="B8" s="9" t="s">
        <v>69</v>
      </c>
      <c r="C8" s="9" t="s">
        <v>70</v>
      </c>
      <c r="D8" s="9" t="s">
        <v>71</v>
      </c>
      <c r="E8" s="9" t="s">
        <v>44</v>
      </c>
      <c r="F8" s="9" t="s">
        <v>72</v>
      </c>
      <c r="G8" s="9" t="s">
        <v>28</v>
      </c>
      <c r="H8" s="9" t="s">
        <v>73</v>
      </c>
      <c r="I8" s="9"/>
    </row>
    <row r="9" spans="1:9" x14ac:dyDescent="0.3">
      <c r="A9" s="9" t="s">
        <v>74</v>
      </c>
      <c r="B9" s="9" t="s">
        <v>69</v>
      </c>
      <c r="C9" s="9" t="s">
        <v>75</v>
      </c>
      <c r="D9" s="9" t="s">
        <v>76</v>
      </c>
      <c r="E9" s="9" t="s">
        <v>44</v>
      </c>
      <c r="F9" s="9" t="s">
        <v>68</v>
      </c>
      <c r="G9" s="9" t="s">
        <v>28</v>
      </c>
      <c r="H9" s="9" t="s">
        <v>77</v>
      </c>
      <c r="I9" s="9"/>
    </row>
    <row r="10" spans="1:9" x14ac:dyDescent="0.3">
      <c r="A10" s="9" t="s">
        <v>78</v>
      </c>
      <c r="B10" s="9" t="s">
        <v>79</v>
      </c>
      <c r="C10" s="9" t="s">
        <v>80</v>
      </c>
      <c r="D10" s="9" t="s">
        <v>81</v>
      </c>
      <c r="E10" s="9" t="s">
        <v>44</v>
      </c>
      <c r="F10" s="9" t="s">
        <v>82</v>
      </c>
      <c r="G10" s="9" t="s">
        <v>28</v>
      </c>
      <c r="H10" s="9" t="s">
        <v>83</v>
      </c>
      <c r="I10" s="9"/>
    </row>
    <row r="11" spans="1:9" ht="26" x14ac:dyDescent="0.3">
      <c r="A11" s="9" t="s">
        <v>84</v>
      </c>
      <c r="B11" s="9" t="s">
        <v>79</v>
      </c>
      <c r="C11" s="9" t="s">
        <v>85</v>
      </c>
      <c r="D11" s="9" t="s">
        <v>86</v>
      </c>
      <c r="E11" s="9" t="s">
        <v>44</v>
      </c>
      <c r="F11" s="9" t="s">
        <v>78</v>
      </c>
      <c r="G11" s="9" t="s">
        <v>28</v>
      </c>
      <c r="H11" s="9" t="s">
        <v>87</v>
      </c>
      <c r="I11" s="9"/>
    </row>
    <row r="12" spans="1:9" ht="26" x14ac:dyDescent="0.3">
      <c r="A12" s="9" t="s">
        <v>88</v>
      </c>
      <c r="B12" s="9" t="s">
        <v>79</v>
      </c>
      <c r="C12" s="9" t="s">
        <v>89</v>
      </c>
      <c r="D12" s="9" t="s">
        <v>90</v>
      </c>
      <c r="E12" s="9" t="s">
        <v>44</v>
      </c>
      <c r="F12" s="9" t="s">
        <v>91</v>
      </c>
      <c r="G12" s="9" t="s">
        <v>28</v>
      </c>
      <c r="H12" s="9" t="s">
        <v>92</v>
      </c>
      <c r="I12" s="9"/>
    </row>
    <row r="13" spans="1:9" ht="26" x14ac:dyDescent="0.3">
      <c r="A13" s="9" t="s">
        <v>93</v>
      </c>
      <c r="B13" s="9" t="s">
        <v>79</v>
      </c>
      <c r="C13" s="9" t="s">
        <v>94</v>
      </c>
      <c r="D13" s="9" t="s">
        <v>95</v>
      </c>
      <c r="E13" s="9" t="s">
        <v>44</v>
      </c>
      <c r="F13" s="9" t="s">
        <v>78</v>
      </c>
      <c r="G13" s="9" t="s">
        <v>28</v>
      </c>
      <c r="H13" s="9" t="s">
        <v>96</v>
      </c>
      <c r="I13" s="9"/>
    </row>
    <row r="14" spans="1:9" ht="26" x14ac:dyDescent="0.3">
      <c r="A14" s="9" t="s">
        <v>97</v>
      </c>
      <c r="B14" s="9" t="s">
        <v>98</v>
      </c>
      <c r="C14" s="9" t="s">
        <v>99</v>
      </c>
      <c r="D14" s="9" t="s">
        <v>100</v>
      </c>
      <c r="E14" s="9" t="s">
        <v>44</v>
      </c>
      <c r="F14" s="9" t="s">
        <v>101</v>
      </c>
      <c r="G14" s="9" t="s">
        <v>28</v>
      </c>
      <c r="H14" s="9" t="s">
        <v>102</v>
      </c>
      <c r="I14" s="9"/>
    </row>
    <row r="15" spans="1:9" ht="26" x14ac:dyDescent="0.3">
      <c r="A15" s="9" t="s">
        <v>103</v>
      </c>
      <c r="B15" s="9" t="s">
        <v>98</v>
      </c>
      <c r="C15" s="9" t="s">
        <v>104</v>
      </c>
      <c r="D15" s="9" t="s">
        <v>105</v>
      </c>
      <c r="E15" s="9" t="s">
        <v>44</v>
      </c>
      <c r="F15" s="9" t="s">
        <v>106</v>
      </c>
      <c r="G15" s="9" t="s">
        <v>28</v>
      </c>
      <c r="H15" s="9" t="s">
        <v>107</v>
      </c>
      <c r="I15" s="9"/>
    </row>
    <row r="16" spans="1:9" ht="26" x14ac:dyDescent="0.3">
      <c r="A16" s="9" t="s">
        <v>108</v>
      </c>
      <c r="B16" s="9" t="s">
        <v>98</v>
      </c>
      <c r="C16" s="9" t="s">
        <v>109</v>
      </c>
      <c r="D16" s="9" t="s">
        <v>110</v>
      </c>
      <c r="E16" s="9" t="s">
        <v>44</v>
      </c>
      <c r="F16" s="9" t="s">
        <v>111</v>
      </c>
      <c r="G16" s="9" t="s">
        <v>28</v>
      </c>
      <c r="H16" s="9" t="s">
        <v>112</v>
      </c>
      <c r="I16" s="9"/>
    </row>
    <row r="17" spans="1:9" x14ac:dyDescent="0.3">
      <c r="A17" s="9" t="s">
        <v>113</v>
      </c>
      <c r="B17" s="9" t="s">
        <v>98</v>
      </c>
      <c r="C17" s="9" t="s">
        <v>114</v>
      </c>
      <c r="D17" s="9" t="s">
        <v>115</v>
      </c>
      <c r="E17" s="9" t="s">
        <v>44</v>
      </c>
      <c r="F17" s="9" t="s">
        <v>116</v>
      </c>
      <c r="G17" s="9" t="s">
        <v>28</v>
      </c>
      <c r="H17" s="9" t="s">
        <v>117</v>
      </c>
      <c r="I17" s="9"/>
    </row>
    <row r="18" spans="1:9" x14ac:dyDescent="0.3">
      <c r="A18" s="9" t="s">
        <v>118</v>
      </c>
      <c r="B18" s="9" t="s">
        <v>119</v>
      </c>
      <c r="C18" s="9" t="s">
        <v>120</v>
      </c>
      <c r="D18" s="9" t="s">
        <v>121</v>
      </c>
      <c r="E18" s="9" t="s">
        <v>44</v>
      </c>
      <c r="F18" s="9" t="s">
        <v>68</v>
      </c>
      <c r="G18" s="9" t="s">
        <v>28</v>
      </c>
      <c r="H18" s="9" t="s">
        <v>122</v>
      </c>
      <c r="I18" s="9"/>
    </row>
    <row r="19" spans="1:9" ht="26" x14ac:dyDescent="0.3">
      <c r="A19" s="9" t="s">
        <v>123</v>
      </c>
      <c r="B19" s="9" t="s">
        <v>119</v>
      </c>
      <c r="C19" s="9" t="s">
        <v>124</v>
      </c>
      <c r="D19" s="9" t="s">
        <v>125</v>
      </c>
      <c r="E19" s="9" t="s">
        <v>44</v>
      </c>
      <c r="F19" s="9" t="s">
        <v>126</v>
      </c>
      <c r="G19" s="9" t="s">
        <v>28</v>
      </c>
      <c r="H19" s="9" t="s">
        <v>127</v>
      </c>
      <c r="I19" s="9"/>
    </row>
    <row r="20" spans="1:9" x14ac:dyDescent="0.3">
      <c r="A20" s="9" t="s">
        <v>128</v>
      </c>
      <c r="B20" s="9" t="s">
        <v>119</v>
      </c>
      <c r="C20" s="9" t="s">
        <v>129</v>
      </c>
      <c r="D20" s="9" t="s">
        <v>130</v>
      </c>
      <c r="E20" s="9" t="s">
        <v>44</v>
      </c>
      <c r="F20" s="9" t="s">
        <v>131</v>
      </c>
      <c r="G20" s="9" t="s">
        <v>28</v>
      </c>
      <c r="H20" s="9" t="s">
        <v>132</v>
      </c>
      <c r="I20" s="9"/>
    </row>
    <row r="21" spans="1:9" ht="26" x14ac:dyDescent="0.3">
      <c r="A21" s="9" t="s">
        <v>133</v>
      </c>
      <c r="B21" s="9" t="s">
        <v>134</v>
      </c>
      <c r="C21" s="9" t="s">
        <v>135</v>
      </c>
      <c r="D21" s="9" t="s">
        <v>136</v>
      </c>
      <c r="E21" s="9" t="s">
        <v>137</v>
      </c>
      <c r="F21" s="9" t="s">
        <v>138</v>
      </c>
      <c r="G21" s="9" t="s">
        <v>28</v>
      </c>
      <c r="H21" s="9" t="s">
        <v>139</v>
      </c>
      <c r="I21" s="9"/>
    </row>
    <row r="22" spans="1:9" ht="26" x14ac:dyDescent="0.3">
      <c r="A22" s="9" t="s">
        <v>140</v>
      </c>
      <c r="B22" s="9" t="s">
        <v>134</v>
      </c>
      <c r="C22" s="9" t="s">
        <v>141</v>
      </c>
      <c r="D22" s="9" t="s">
        <v>142</v>
      </c>
      <c r="E22" s="9" t="s">
        <v>44</v>
      </c>
      <c r="F22" s="9" t="s">
        <v>133</v>
      </c>
      <c r="G22" s="9" t="s">
        <v>28</v>
      </c>
      <c r="H22" s="9" t="s">
        <v>143</v>
      </c>
      <c r="I22" s="9"/>
    </row>
    <row r="23" spans="1:9" ht="26" x14ac:dyDescent="0.3">
      <c r="A23" s="9" t="s">
        <v>144</v>
      </c>
      <c r="B23" s="9" t="s">
        <v>145</v>
      </c>
      <c r="C23" s="9" t="s">
        <v>146</v>
      </c>
      <c r="D23" s="9" t="s">
        <v>147</v>
      </c>
      <c r="E23" s="9" t="s">
        <v>44</v>
      </c>
      <c r="F23" s="9" t="s">
        <v>148</v>
      </c>
      <c r="G23" s="9" t="s">
        <v>28</v>
      </c>
      <c r="H23" s="9" t="s">
        <v>149</v>
      </c>
      <c r="I23" s="9"/>
    </row>
    <row r="24" spans="1:9" ht="26" x14ac:dyDescent="0.3">
      <c r="A24" s="9" t="s">
        <v>150</v>
      </c>
      <c r="B24" s="9" t="s">
        <v>145</v>
      </c>
      <c r="C24" s="9" t="s">
        <v>151</v>
      </c>
      <c r="D24" s="9" t="s">
        <v>152</v>
      </c>
      <c r="E24" s="9" t="s">
        <v>44</v>
      </c>
      <c r="F24" s="9" t="s">
        <v>153</v>
      </c>
      <c r="G24" s="9" t="s">
        <v>28</v>
      </c>
      <c r="H24" s="9" t="s">
        <v>154</v>
      </c>
      <c r="I24" s="9"/>
    </row>
    <row r="25" spans="1:9" ht="26" x14ac:dyDescent="0.3">
      <c r="A25" s="9" t="s">
        <v>155</v>
      </c>
      <c r="B25" s="9" t="s">
        <v>145</v>
      </c>
      <c r="C25" s="9" t="s">
        <v>156</v>
      </c>
      <c r="D25" s="9" t="s">
        <v>157</v>
      </c>
      <c r="E25" s="9" t="s">
        <v>137</v>
      </c>
      <c r="F25" s="9" t="s">
        <v>158</v>
      </c>
      <c r="G25" s="9" t="s">
        <v>28</v>
      </c>
      <c r="H25" s="9" t="s">
        <v>159</v>
      </c>
      <c r="I25" s="9"/>
    </row>
    <row r="26" spans="1:9" x14ac:dyDescent="0.3">
      <c r="A26" s="9" t="s">
        <v>160</v>
      </c>
      <c r="B26" s="9" t="s">
        <v>161</v>
      </c>
      <c r="C26" s="9" t="s">
        <v>162</v>
      </c>
      <c r="D26" s="9" t="s">
        <v>163</v>
      </c>
      <c r="E26" s="9" t="s">
        <v>44</v>
      </c>
      <c r="F26" s="9" t="s">
        <v>164</v>
      </c>
      <c r="G26" s="9" t="s">
        <v>28</v>
      </c>
      <c r="H26" s="9" t="s">
        <v>165</v>
      </c>
      <c r="I26" s="9"/>
    </row>
    <row r="27" spans="1:9" x14ac:dyDescent="0.3">
      <c r="A27" s="9" t="s">
        <v>166</v>
      </c>
      <c r="B27" s="9" t="s">
        <v>161</v>
      </c>
      <c r="C27" s="9" t="s">
        <v>167</v>
      </c>
      <c r="D27" s="9" t="s">
        <v>168</v>
      </c>
      <c r="E27" s="9" t="s">
        <v>44</v>
      </c>
      <c r="F27" s="9" t="s">
        <v>160</v>
      </c>
      <c r="G27" s="9" t="s">
        <v>28</v>
      </c>
      <c r="H27" s="9" t="s">
        <v>169</v>
      </c>
      <c r="I27" s="9"/>
    </row>
    <row r="28" spans="1:9" x14ac:dyDescent="0.3">
      <c r="A28" s="9" t="s">
        <v>170</v>
      </c>
      <c r="B28" s="9" t="s">
        <v>171</v>
      </c>
      <c r="C28" s="9" t="s">
        <v>172</v>
      </c>
      <c r="D28" s="9" t="s">
        <v>173</v>
      </c>
      <c r="E28" s="9" t="s">
        <v>44</v>
      </c>
      <c r="F28" s="9" t="s">
        <v>174</v>
      </c>
      <c r="G28" s="9" t="s">
        <v>28</v>
      </c>
      <c r="H28" s="9" t="s">
        <v>175</v>
      </c>
      <c r="I28" s="9"/>
    </row>
    <row r="29" spans="1:9" x14ac:dyDescent="0.3">
      <c r="A29" s="9" t="s">
        <v>176</v>
      </c>
      <c r="B29" s="9" t="s">
        <v>171</v>
      </c>
      <c r="C29" s="9" t="s">
        <v>177</v>
      </c>
      <c r="D29" s="9" t="s">
        <v>178</v>
      </c>
      <c r="E29" s="9" t="s">
        <v>44</v>
      </c>
      <c r="F29" s="9" t="s">
        <v>179</v>
      </c>
      <c r="G29" s="9" t="s">
        <v>28</v>
      </c>
      <c r="H29" s="9" t="s">
        <v>180</v>
      </c>
      <c r="I29" s="9"/>
    </row>
    <row r="30" spans="1:9" ht="26" x14ac:dyDescent="0.3">
      <c r="A30" s="9" t="s">
        <v>181</v>
      </c>
      <c r="B30" s="9" t="s">
        <v>171</v>
      </c>
      <c r="C30" s="9" t="s">
        <v>182</v>
      </c>
      <c r="D30" s="9" t="s">
        <v>183</v>
      </c>
      <c r="E30" s="9" t="s">
        <v>44</v>
      </c>
      <c r="F30" s="9" t="s">
        <v>184</v>
      </c>
      <c r="G30" s="9" t="s">
        <v>28</v>
      </c>
      <c r="H30" s="9" t="s">
        <v>185</v>
      </c>
      <c r="I30" s="9"/>
    </row>
    <row r="31" spans="1:9" x14ac:dyDescent="0.3">
      <c r="A31" s="9" t="s">
        <v>186</v>
      </c>
      <c r="B31" s="9" t="s">
        <v>187</v>
      </c>
      <c r="C31" s="9" t="s">
        <v>188</v>
      </c>
      <c r="D31" s="9" t="s">
        <v>189</v>
      </c>
      <c r="E31" s="9" t="s">
        <v>137</v>
      </c>
      <c r="F31" s="9" t="s">
        <v>190</v>
      </c>
      <c r="G31" s="9" t="s">
        <v>28</v>
      </c>
      <c r="H31" s="9" t="s">
        <v>191</v>
      </c>
      <c r="I31" s="9"/>
    </row>
    <row r="32" spans="1:9" x14ac:dyDescent="0.3">
      <c r="A32" s="9" t="s">
        <v>192</v>
      </c>
      <c r="B32" s="9" t="s">
        <v>193</v>
      </c>
      <c r="C32" s="9" t="s">
        <v>194</v>
      </c>
      <c r="D32" s="9" t="s">
        <v>195</v>
      </c>
      <c r="E32" s="9" t="s">
        <v>44</v>
      </c>
      <c r="F32" s="9" t="s">
        <v>196</v>
      </c>
      <c r="G32" s="9" t="s">
        <v>28</v>
      </c>
      <c r="H32" s="9" t="s">
        <v>197</v>
      </c>
      <c r="I32" s="9"/>
    </row>
    <row r="33" spans="1:9" ht="26" x14ac:dyDescent="0.3">
      <c r="A33" s="9" t="s">
        <v>198</v>
      </c>
      <c r="B33" s="9" t="s">
        <v>199</v>
      </c>
      <c r="C33" s="9" t="s">
        <v>200</v>
      </c>
      <c r="D33" s="9" t="s">
        <v>201</v>
      </c>
      <c r="E33" s="9" t="s">
        <v>44</v>
      </c>
      <c r="F33" s="9" t="s">
        <v>202</v>
      </c>
      <c r="G33" s="9" t="s">
        <v>28</v>
      </c>
      <c r="H33" s="9" t="s">
        <v>203</v>
      </c>
      <c r="I33" s="9"/>
    </row>
  </sheetData>
  <autoFilter ref="A1:I33" xr:uid="{00000000-0009-0000-0000-000001000000}"/>
  <conditionalFormatting sqref="G2:G33">
    <cfRule type="expression" dxfId="4" priority="1">
      <formula>$G2="Đạt"</formula>
    </cfRule>
    <cfRule type="expression" dxfId="3" priority="2">
      <formula>$G2="Đang làm"</formula>
    </cfRule>
    <cfRule type="expression" dxfId="2" priority="3">
      <formula>$G2="Không đạt"</formula>
    </cfRule>
  </conditionalFormatting>
  <dataValidations count="2">
    <dataValidation type="list" sqref="G2:G33" xr:uid="{00000000-0002-0000-0100-000000000000}">
      <formula1>"Chưa bắt đầu,Đang làm,Đang chờ,Đạt,Không đạt"</formula1>
    </dataValidation>
    <dataValidation type="list" sqref="E2:E33" xr:uid="{00000000-0002-0000-0100-000001000000}">
      <formula1>"Cao,Trung bình,Thấp"</formula1>
    </dataValidation>
  </dataValidations>
  <pageMargins left="0.25" right="0.25" top="0.5" bottom="0.5"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3"/>
  <sheetViews>
    <sheetView showGridLines="0" zoomScale="85" workbookViewId="0">
      <pane ySplit="1" topLeftCell="A2" activePane="bottomLeft" state="frozen"/>
      <selection pane="bottomLeft"/>
    </sheetView>
  </sheetViews>
  <sheetFormatPr defaultRowHeight="14" x14ac:dyDescent="0.3"/>
  <cols>
    <col min="1" max="1" width="28" customWidth="1"/>
    <col min="2" max="2" width="49" customWidth="1"/>
    <col min="3" max="3" width="42" customWidth="1"/>
    <col min="4" max="4" width="45" customWidth="1"/>
    <col min="5" max="5" width="32" customWidth="1"/>
    <col min="6" max="6" width="42" customWidth="1"/>
  </cols>
  <sheetData>
    <row r="1" spans="1:6" ht="32" customHeight="1" x14ac:dyDescent="0.3">
      <c r="A1" s="8" t="s">
        <v>204</v>
      </c>
      <c r="B1" s="8" t="s">
        <v>205</v>
      </c>
      <c r="C1" s="8" t="s">
        <v>206</v>
      </c>
      <c r="D1" s="8" t="s">
        <v>207</v>
      </c>
      <c r="E1" s="8" t="s">
        <v>208</v>
      </c>
      <c r="F1" s="8" t="s">
        <v>209</v>
      </c>
    </row>
    <row r="2" spans="1:6" ht="26" x14ac:dyDescent="0.3">
      <c r="A2" s="9" t="s">
        <v>210</v>
      </c>
      <c r="B2" s="9" t="s">
        <v>211</v>
      </c>
      <c r="C2" s="9" t="s">
        <v>212</v>
      </c>
      <c r="D2" s="9" t="s">
        <v>213</v>
      </c>
      <c r="E2" s="9" t="s">
        <v>214</v>
      </c>
      <c r="F2" s="9" t="s">
        <v>215</v>
      </c>
    </row>
    <row r="3" spans="1:6" ht="26" x14ac:dyDescent="0.3">
      <c r="A3" s="9" t="s">
        <v>216</v>
      </c>
      <c r="B3" s="9" t="s">
        <v>217</v>
      </c>
      <c r="C3" s="9" t="s">
        <v>218</v>
      </c>
      <c r="D3" s="9" t="s">
        <v>219</v>
      </c>
      <c r="E3" s="9" t="s">
        <v>220</v>
      </c>
      <c r="F3" s="9" t="s">
        <v>221</v>
      </c>
    </row>
    <row r="4" spans="1:6" ht="26" x14ac:dyDescent="0.3">
      <c r="A4" s="9" t="s">
        <v>222</v>
      </c>
      <c r="B4" s="9" t="s">
        <v>223</v>
      </c>
      <c r="C4" s="9" t="s">
        <v>224</v>
      </c>
      <c r="D4" s="9" t="s">
        <v>225</v>
      </c>
      <c r="E4" s="9" t="s">
        <v>226</v>
      </c>
      <c r="F4" s="9" t="s">
        <v>227</v>
      </c>
    </row>
    <row r="5" spans="1:6" ht="26" x14ac:dyDescent="0.3">
      <c r="A5" s="9" t="s">
        <v>228</v>
      </c>
      <c r="B5" s="9" t="s">
        <v>229</v>
      </c>
      <c r="C5" s="9" t="s">
        <v>230</v>
      </c>
      <c r="D5" s="9" t="s">
        <v>231</v>
      </c>
      <c r="E5" s="9" t="s">
        <v>232</v>
      </c>
      <c r="F5" s="9" t="s">
        <v>233</v>
      </c>
    </row>
    <row r="6" spans="1:6" ht="26" x14ac:dyDescent="0.3">
      <c r="A6" s="9" t="s">
        <v>234</v>
      </c>
      <c r="B6" s="9" t="s">
        <v>235</v>
      </c>
      <c r="C6" s="9" t="s">
        <v>236</v>
      </c>
      <c r="D6" s="9" t="s">
        <v>237</v>
      </c>
      <c r="E6" s="9" t="s">
        <v>238</v>
      </c>
      <c r="F6" s="9" t="s">
        <v>239</v>
      </c>
    </row>
    <row r="7" spans="1:6" ht="26" x14ac:dyDescent="0.3">
      <c r="A7" s="9" t="s">
        <v>240</v>
      </c>
      <c r="B7" s="9" t="s">
        <v>241</v>
      </c>
      <c r="C7" s="9" t="s">
        <v>242</v>
      </c>
      <c r="D7" s="9" t="s">
        <v>243</v>
      </c>
      <c r="E7" s="9" t="s">
        <v>244</v>
      </c>
      <c r="F7" s="9" t="s">
        <v>245</v>
      </c>
    </row>
    <row r="8" spans="1:6" ht="26" x14ac:dyDescent="0.3">
      <c r="A8" s="9" t="s">
        <v>246</v>
      </c>
      <c r="B8" s="9" t="s">
        <v>247</v>
      </c>
      <c r="C8" s="9" t="s">
        <v>248</v>
      </c>
      <c r="D8" s="9" t="s">
        <v>249</v>
      </c>
      <c r="E8" s="9" t="s">
        <v>250</v>
      </c>
      <c r="F8" s="9" t="s">
        <v>251</v>
      </c>
    </row>
    <row r="9" spans="1:6" ht="26" x14ac:dyDescent="0.3">
      <c r="A9" s="9" t="s">
        <v>252</v>
      </c>
      <c r="B9" s="9" t="s">
        <v>253</v>
      </c>
      <c r="C9" s="9" t="s">
        <v>254</v>
      </c>
      <c r="D9" s="9" t="s">
        <v>255</v>
      </c>
      <c r="E9" s="9" t="s">
        <v>256</v>
      </c>
      <c r="F9" s="9" t="s">
        <v>257</v>
      </c>
    </row>
    <row r="10" spans="1:6" ht="26" x14ac:dyDescent="0.3">
      <c r="A10" s="9" t="s">
        <v>258</v>
      </c>
      <c r="B10" s="9" t="s">
        <v>259</v>
      </c>
      <c r="C10" s="9" t="s">
        <v>260</v>
      </c>
      <c r="D10" s="9" t="s">
        <v>261</v>
      </c>
      <c r="E10" s="9" t="s">
        <v>262</v>
      </c>
      <c r="F10" s="9" t="s">
        <v>263</v>
      </c>
    </row>
    <row r="11" spans="1:6" ht="26" x14ac:dyDescent="0.3">
      <c r="A11" s="9" t="s">
        <v>264</v>
      </c>
      <c r="B11" s="9" t="s">
        <v>265</v>
      </c>
      <c r="C11" s="9" t="s">
        <v>266</v>
      </c>
      <c r="D11" s="9" t="s">
        <v>267</v>
      </c>
      <c r="E11" s="9" t="s">
        <v>268</v>
      </c>
      <c r="F11" s="9" t="s">
        <v>269</v>
      </c>
    </row>
    <row r="12" spans="1:6" ht="26" x14ac:dyDescent="0.3">
      <c r="A12" s="9" t="s">
        <v>270</v>
      </c>
      <c r="B12" s="9" t="s">
        <v>271</v>
      </c>
      <c r="C12" s="9" t="s">
        <v>272</v>
      </c>
      <c r="D12" s="9" t="s">
        <v>273</v>
      </c>
      <c r="E12" s="9" t="s">
        <v>274</v>
      </c>
      <c r="F12" s="9" t="s">
        <v>275</v>
      </c>
    </row>
    <row r="13" spans="1:6" x14ac:dyDescent="0.3">
      <c r="A13" s="9" t="s">
        <v>276</v>
      </c>
      <c r="B13" s="9" t="s">
        <v>277</v>
      </c>
      <c r="C13" s="9" t="s">
        <v>278</v>
      </c>
      <c r="D13" s="9" t="s">
        <v>279</v>
      </c>
      <c r="E13" s="9" t="s">
        <v>280</v>
      </c>
      <c r="F13" s="9" t="s">
        <v>281</v>
      </c>
    </row>
  </sheetData>
  <autoFilter ref="A1:F13" xr:uid="{00000000-0009-0000-0000-000002000000}"/>
  <pageMargins left="0.25" right="0.25" top="0.5" bottom="0.5"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3"/>
  <sheetViews>
    <sheetView showGridLines="0" zoomScale="85" workbookViewId="0">
      <pane ySplit="1" topLeftCell="A2" activePane="bottomLeft" state="frozen"/>
      <selection pane="bottomLeft"/>
    </sheetView>
  </sheetViews>
  <sheetFormatPr defaultRowHeight="14" x14ac:dyDescent="0.3"/>
  <cols>
    <col min="1" max="1" width="10" customWidth="1"/>
    <col min="2" max="2" width="19" customWidth="1"/>
    <col min="3" max="3" width="27" customWidth="1"/>
    <col min="4" max="4" width="45" customWidth="1"/>
    <col min="5" max="5" width="52" customWidth="1"/>
    <col min="6" max="6" width="14" customWidth="1"/>
    <col min="7" max="7" width="18" customWidth="1"/>
    <col min="8" max="8" width="38" customWidth="1"/>
  </cols>
  <sheetData>
    <row r="1" spans="1:8" ht="32" customHeight="1" x14ac:dyDescent="0.3">
      <c r="A1" s="8" t="s">
        <v>282</v>
      </c>
      <c r="B1" s="8" t="s">
        <v>283</v>
      </c>
      <c r="C1" s="8" t="s">
        <v>284</v>
      </c>
      <c r="D1" s="8" t="s">
        <v>285</v>
      </c>
      <c r="E1" s="8" t="s">
        <v>286</v>
      </c>
      <c r="F1" s="8" t="s">
        <v>287</v>
      </c>
      <c r="G1" s="8" t="s">
        <v>37</v>
      </c>
      <c r="H1" s="8" t="s">
        <v>288</v>
      </c>
    </row>
    <row r="2" spans="1:8" x14ac:dyDescent="0.3">
      <c r="A2" s="9" t="s">
        <v>289</v>
      </c>
      <c r="B2" s="9" t="s">
        <v>290</v>
      </c>
      <c r="C2" s="9" t="s">
        <v>291</v>
      </c>
      <c r="D2" s="9" t="s">
        <v>292</v>
      </c>
      <c r="E2" s="9" t="s">
        <v>293</v>
      </c>
      <c r="F2" s="9" t="s">
        <v>44</v>
      </c>
      <c r="G2" s="9" t="s">
        <v>294</v>
      </c>
      <c r="H2" s="9"/>
    </row>
    <row r="3" spans="1:8" x14ac:dyDescent="0.3">
      <c r="A3" s="9" t="s">
        <v>295</v>
      </c>
      <c r="B3" s="9" t="s">
        <v>290</v>
      </c>
      <c r="C3" s="9" t="s">
        <v>296</v>
      </c>
      <c r="D3" s="9" t="s">
        <v>297</v>
      </c>
      <c r="E3" s="9" t="s">
        <v>298</v>
      </c>
      <c r="F3" s="9" t="s">
        <v>44</v>
      </c>
      <c r="G3" s="9" t="s">
        <v>294</v>
      </c>
      <c r="H3" s="9"/>
    </row>
    <row r="4" spans="1:8" x14ac:dyDescent="0.3">
      <c r="A4" s="9" t="s">
        <v>299</v>
      </c>
      <c r="B4" s="9" t="s">
        <v>290</v>
      </c>
      <c r="C4" s="9" t="s">
        <v>300</v>
      </c>
      <c r="D4" s="9" t="s">
        <v>301</v>
      </c>
      <c r="E4" s="9" t="s">
        <v>302</v>
      </c>
      <c r="F4" s="9" t="s">
        <v>44</v>
      </c>
      <c r="G4" s="9" t="s">
        <v>294</v>
      </c>
      <c r="H4" s="9"/>
    </row>
    <row r="5" spans="1:8" x14ac:dyDescent="0.3">
      <c r="A5" s="9" t="s">
        <v>303</v>
      </c>
      <c r="B5" s="9" t="s">
        <v>290</v>
      </c>
      <c r="C5" s="9" t="s">
        <v>304</v>
      </c>
      <c r="D5" s="9" t="s">
        <v>305</v>
      </c>
      <c r="E5" s="9" t="s">
        <v>306</v>
      </c>
      <c r="F5" s="9" t="s">
        <v>44</v>
      </c>
      <c r="G5" s="9" t="s">
        <v>294</v>
      </c>
      <c r="H5" s="9"/>
    </row>
    <row r="6" spans="1:8" x14ac:dyDescent="0.3">
      <c r="A6" s="9" t="s">
        <v>307</v>
      </c>
      <c r="B6" s="9" t="s">
        <v>308</v>
      </c>
      <c r="C6" s="9" t="s">
        <v>309</v>
      </c>
      <c r="D6" s="9" t="s">
        <v>310</v>
      </c>
      <c r="E6" s="9" t="s">
        <v>311</v>
      </c>
      <c r="F6" s="9" t="s">
        <v>44</v>
      </c>
      <c r="G6" s="9" t="s">
        <v>294</v>
      </c>
      <c r="H6" s="9"/>
    </row>
    <row r="7" spans="1:8" x14ac:dyDescent="0.3">
      <c r="A7" s="9" t="s">
        <v>312</v>
      </c>
      <c r="B7" s="9" t="s">
        <v>313</v>
      </c>
      <c r="C7" s="9" t="s">
        <v>314</v>
      </c>
      <c r="D7" s="9" t="s">
        <v>315</v>
      </c>
      <c r="E7" s="9" t="s">
        <v>316</v>
      </c>
      <c r="F7" s="9" t="s">
        <v>44</v>
      </c>
      <c r="G7" s="9" t="s">
        <v>294</v>
      </c>
      <c r="H7" s="9"/>
    </row>
    <row r="8" spans="1:8" x14ac:dyDescent="0.3">
      <c r="A8" s="9" t="s">
        <v>317</v>
      </c>
      <c r="B8" s="9" t="s">
        <v>313</v>
      </c>
      <c r="C8" s="9" t="s">
        <v>318</v>
      </c>
      <c r="D8" s="9" t="s">
        <v>319</v>
      </c>
      <c r="E8" s="9" t="s">
        <v>320</v>
      </c>
      <c r="F8" s="9" t="s">
        <v>44</v>
      </c>
      <c r="G8" s="9" t="s">
        <v>294</v>
      </c>
      <c r="H8" s="9"/>
    </row>
    <row r="9" spans="1:8" x14ac:dyDescent="0.3">
      <c r="A9" s="9" t="s">
        <v>321</v>
      </c>
      <c r="B9" s="9" t="s">
        <v>322</v>
      </c>
      <c r="C9" s="9" t="s">
        <v>323</v>
      </c>
      <c r="D9" s="9" t="s">
        <v>324</v>
      </c>
      <c r="E9" s="9" t="s">
        <v>325</v>
      </c>
      <c r="F9" s="9" t="s">
        <v>44</v>
      </c>
      <c r="G9" s="9" t="s">
        <v>294</v>
      </c>
      <c r="H9" s="9"/>
    </row>
    <row r="10" spans="1:8" x14ac:dyDescent="0.3">
      <c r="A10" s="9" t="s">
        <v>326</v>
      </c>
      <c r="B10" s="9" t="s">
        <v>322</v>
      </c>
      <c r="C10" s="9" t="s">
        <v>327</v>
      </c>
      <c r="D10" s="9" t="s">
        <v>328</v>
      </c>
      <c r="E10" s="9" t="s">
        <v>329</v>
      </c>
      <c r="F10" s="9" t="s">
        <v>44</v>
      </c>
      <c r="G10" s="9" t="s">
        <v>294</v>
      </c>
      <c r="H10" s="9"/>
    </row>
    <row r="11" spans="1:8" x14ac:dyDescent="0.3">
      <c r="A11" s="9" t="s">
        <v>330</v>
      </c>
      <c r="B11" s="9" t="s">
        <v>322</v>
      </c>
      <c r="C11" s="9" t="s">
        <v>331</v>
      </c>
      <c r="D11" s="9" t="s">
        <v>332</v>
      </c>
      <c r="E11" s="9" t="s">
        <v>333</v>
      </c>
      <c r="F11" s="9" t="s">
        <v>44</v>
      </c>
      <c r="G11" s="9" t="s">
        <v>294</v>
      </c>
      <c r="H11" s="9"/>
    </row>
    <row r="12" spans="1:8" x14ac:dyDescent="0.3">
      <c r="A12" s="9" t="s">
        <v>334</v>
      </c>
      <c r="B12" s="9" t="s">
        <v>109</v>
      </c>
      <c r="C12" s="9" t="s">
        <v>335</v>
      </c>
      <c r="D12" s="9" t="s">
        <v>336</v>
      </c>
      <c r="E12" s="9" t="s">
        <v>337</v>
      </c>
      <c r="F12" s="9" t="s">
        <v>44</v>
      </c>
      <c r="G12" s="9" t="s">
        <v>294</v>
      </c>
      <c r="H12" s="9"/>
    </row>
    <row r="13" spans="1:8" x14ac:dyDescent="0.3">
      <c r="A13" s="9" t="s">
        <v>338</v>
      </c>
      <c r="B13" s="9" t="s">
        <v>339</v>
      </c>
      <c r="C13" s="9" t="s">
        <v>340</v>
      </c>
      <c r="D13" s="9" t="s">
        <v>341</v>
      </c>
      <c r="E13" s="9" t="s">
        <v>342</v>
      </c>
      <c r="F13" s="9" t="s">
        <v>44</v>
      </c>
      <c r="G13" s="9" t="s">
        <v>294</v>
      </c>
      <c r="H13" s="9"/>
    </row>
    <row r="14" spans="1:8" x14ac:dyDescent="0.3">
      <c r="A14" s="9" t="s">
        <v>343</v>
      </c>
      <c r="B14" s="9" t="s">
        <v>344</v>
      </c>
      <c r="C14" s="9" t="s">
        <v>345</v>
      </c>
      <c r="D14" s="9" t="s">
        <v>346</v>
      </c>
      <c r="E14" s="9" t="s">
        <v>347</v>
      </c>
      <c r="F14" s="9" t="s">
        <v>44</v>
      </c>
      <c r="G14" s="9" t="s">
        <v>294</v>
      </c>
      <c r="H14" s="9"/>
    </row>
    <row r="15" spans="1:8" x14ac:dyDescent="0.3">
      <c r="A15" s="9" t="s">
        <v>348</v>
      </c>
      <c r="B15" s="9" t="s">
        <v>349</v>
      </c>
      <c r="C15" s="9" t="s">
        <v>350</v>
      </c>
      <c r="D15" s="9" t="s">
        <v>351</v>
      </c>
      <c r="E15" s="9" t="s">
        <v>352</v>
      </c>
      <c r="F15" s="9" t="s">
        <v>44</v>
      </c>
      <c r="G15" s="9" t="s">
        <v>294</v>
      </c>
      <c r="H15" s="9"/>
    </row>
    <row r="16" spans="1:8" x14ac:dyDescent="0.3">
      <c r="A16" s="9" t="s">
        <v>353</v>
      </c>
      <c r="B16" s="9" t="s">
        <v>354</v>
      </c>
      <c r="C16" s="9" t="s">
        <v>355</v>
      </c>
      <c r="D16" s="9" t="s">
        <v>356</v>
      </c>
      <c r="E16" s="9" t="s">
        <v>357</v>
      </c>
      <c r="F16" s="9" t="s">
        <v>44</v>
      </c>
      <c r="G16" s="9" t="s">
        <v>294</v>
      </c>
      <c r="H16" s="9"/>
    </row>
    <row r="17" spans="1:8" ht="26" x14ac:dyDescent="0.3">
      <c r="A17" s="9" t="s">
        <v>358</v>
      </c>
      <c r="B17" s="9" t="s">
        <v>359</v>
      </c>
      <c r="C17" s="9" t="s">
        <v>360</v>
      </c>
      <c r="D17" s="9" t="s">
        <v>361</v>
      </c>
      <c r="E17" s="9" t="s">
        <v>362</v>
      </c>
      <c r="F17" s="9" t="s">
        <v>44</v>
      </c>
      <c r="G17" s="9" t="s">
        <v>294</v>
      </c>
      <c r="H17" s="9"/>
    </row>
    <row r="18" spans="1:8" x14ac:dyDescent="0.3">
      <c r="A18" s="9" t="s">
        <v>363</v>
      </c>
      <c r="B18" s="9" t="s">
        <v>364</v>
      </c>
      <c r="C18" s="9" t="s">
        <v>365</v>
      </c>
      <c r="D18" s="9" t="s">
        <v>366</v>
      </c>
      <c r="E18" s="9" t="s">
        <v>367</v>
      </c>
      <c r="F18" s="9" t="s">
        <v>44</v>
      </c>
      <c r="G18" s="9" t="s">
        <v>294</v>
      </c>
      <c r="H18" s="9"/>
    </row>
    <row r="19" spans="1:8" x14ac:dyDescent="0.3">
      <c r="A19" s="9" t="s">
        <v>368</v>
      </c>
      <c r="B19" s="9" t="s">
        <v>369</v>
      </c>
      <c r="C19" s="9" t="s">
        <v>370</v>
      </c>
      <c r="D19" s="9" t="s">
        <v>371</v>
      </c>
      <c r="E19" s="9" t="s">
        <v>372</v>
      </c>
      <c r="F19" s="9" t="s">
        <v>137</v>
      </c>
      <c r="G19" s="9" t="s">
        <v>294</v>
      </c>
      <c r="H19" s="9"/>
    </row>
    <row r="20" spans="1:8" ht="26" x14ac:dyDescent="0.3">
      <c r="A20" s="9" t="s">
        <v>373</v>
      </c>
      <c r="B20" s="9" t="s">
        <v>374</v>
      </c>
      <c r="C20" s="9" t="s">
        <v>375</v>
      </c>
      <c r="D20" s="9" t="s">
        <v>376</v>
      </c>
      <c r="E20" s="9" t="s">
        <v>377</v>
      </c>
      <c r="F20" s="9" t="s">
        <v>44</v>
      </c>
      <c r="G20" s="9" t="s">
        <v>294</v>
      </c>
      <c r="H20" s="9"/>
    </row>
    <row r="21" spans="1:8" x14ac:dyDescent="0.3">
      <c r="A21" s="9" t="s">
        <v>378</v>
      </c>
      <c r="B21" s="9" t="s">
        <v>379</v>
      </c>
      <c r="C21" s="9" t="s">
        <v>380</v>
      </c>
      <c r="D21" s="9" t="s">
        <v>381</v>
      </c>
      <c r="E21" s="9" t="s">
        <v>382</v>
      </c>
      <c r="F21" s="9" t="s">
        <v>137</v>
      </c>
      <c r="G21" s="9" t="s">
        <v>294</v>
      </c>
      <c r="H21" s="9"/>
    </row>
    <row r="22" spans="1:8" x14ac:dyDescent="0.3">
      <c r="A22" s="9" t="s">
        <v>383</v>
      </c>
      <c r="B22" s="9" t="s">
        <v>384</v>
      </c>
      <c r="C22" s="9" t="s">
        <v>385</v>
      </c>
      <c r="D22" s="9" t="s">
        <v>386</v>
      </c>
      <c r="E22" s="9" t="s">
        <v>387</v>
      </c>
      <c r="F22" s="9" t="s">
        <v>44</v>
      </c>
      <c r="G22" s="9" t="s">
        <v>294</v>
      </c>
      <c r="H22" s="9"/>
    </row>
    <row r="23" spans="1:8" x14ac:dyDescent="0.3">
      <c r="A23" s="9" t="s">
        <v>388</v>
      </c>
      <c r="B23" s="9" t="s">
        <v>389</v>
      </c>
      <c r="C23" s="9" t="s">
        <v>390</v>
      </c>
      <c r="D23" s="9" t="s">
        <v>391</v>
      </c>
      <c r="E23" s="9" t="s">
        <v>392</v>
      </c>
      <c r="F23" s="9" t="s">
        <v>44</v>
      </c>
      <c r="G23" s="9" t="s">
        <v>294</v>
      </c>
      <c r="H23" s="9"/>
    </row>
  </sheetData>
  <autoFilter ref="A1:H23" xr:uid="{00000000-0009-0000-0000-000003000000}"/>
  <conditionalFormatting sqref="G2:G23">
    <cfRule type="expression" dxfId="1" priority="1">
      <formula>$G2="Đạt"</formula>
    </cfRule>
    <cfRule type="expression" dxfId="0" priority="2">
      <formula>$G2="Không đạt"</formula>
    </cfRule>
  </conditionalFormatting>
  <dataValidations count="1">
    <dataValidation type="list" sqref="G2:G23" xr:uid="{00000000-0002-0000-0300-000000000000}">
      <formula1>"Chưa chạy,Đạt,Không đạt,Không áp dụng"</formula1>
    </dataValidation>
  </dataValidations>
  <pageMargins left="0.25" right="0.25" top="0.5" bottom="0.5" header="0.5" footer="0.5"/>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8"/>
  <sheetViews>
    <sheetView showGridLines="0" zoomScale="85" workbookViewId="0">
      <pane ySplit="1" topLeftCell="A2" activePane="bottomLeft" state="frozen"/>
      <selection pane="bottomLeft"/>
    </sheetView>
  </sheetViews>
  <sheetFormatPr defaultRowHeight="14" x14ac:dyDescent="0.3"/>
  <cols>
    <col min="1" max="1" width="38" customWidth="1"/>
    <col min="2" max="2" width="12" customWidth="1"/>
    <col min="3" max="3" width="32" customWidth="1"/>
    <col min="4" max="4" width="44" customWidth="1"/>
    <col min="5" max="5" width="46" customWidth="1"/>
    <col min="6" max="6" width="58" customWidth="1"/>
  </cols>
  <sheetData>
    <row r="1" spans="1:6" ht="32" customHeight="1" x14ac:dyDescent="0.3">
      <c r="A1" s="8" t="s">
        <v>393</v>
      </c>
      <c r="B1" s="8" t="s">
        <v>394</v>
      </c>
      <c r="C1" s="8" t="s">
        <v>395</v>
      </c>
      <c r="D1" s="8" t="s">
        <v>396</v>
      </c>
      <c r="E1" s="8" t="s">
        <v>397</v>
      </c>
      <c r="F1" s="8" t="s">
        <v>398</v>
      </c>
    </row>
    <row r="2" spans="1:6" x14ac:dyDescent="0.3">
      <c r="A2" s="9" t="s">
        <v>399</v>
      </c>
      <c r="B2" s="9" t="s">
        <v>400</v>
      </c>
      <c r="C2" s="9" t="s">
        <v>401</v>
      </c>
      <c r="D2" s="9" t="s">
        <v>402</v>
      </c>
      <c r="E2" s="9" t="s">
        <v>403</v>
      </c>
      <c r="F2" s="9" t="s">
        <v>404</v>
      </c>
    </row>
    <row r="3" spans="1:6" x14ac:dyDescent="0.3">
      <c r="A3" s="9" t="s">
        <v>405</v>
      </c>
      <c r="B3" s="9" t="s">
        <v>406</v>
      </c>
      <c r="C3" s="9" t="s">
        <v>407</v>
      </c>
      <c r="D3" s="9" t="s">
        <v>408</v>
      </c>
      <c r="E3" s="9" t="s">
        <v>409</v>
      </c>
      <c r="F3" s="9" t="s">
        <v>410</v>
      </c>
    </row>
    <row r="4" spans="1:6" ht="26" x14ac:dyDescent="0.3">
      <c r="A4" s="9" t="s">
        <v>411</v>
      </c>
      <c r="B4" s="9" t="s">
        <v>406</v>
      </c>
      <c r="C4" s="9" t="s">
        <v>412</v>
      </c>
      <c r="D4" s="9" t="s">
        <v>413</v>
      </c>
      <c r="E4" s="9" t="s">
        <v>414</v>
      </c>
      <c r="F4" s="9" t="s">
        <v>415</v>
      </c>
    </row>
    <row r="5" spans="1:6" x14ac:dyDescent="0.3">
      <c r="A5" s="9" t="s">
        <v>416</v>
      </c>
      <c r="B5" s="9" t="s">
        <v>400</v>
      </c>
      <c r="C5" s="9" t="s">
        <v>417</v>
      </c>
      <c r="D5" s="9" t="s">
        <v>418</v>
      </c>
      <c r="E5" s="9" t="s">
        <v>419</v>
      </c>
      <c r="F5" s="9" t="s">
        <v>420</v>
      </c>
    </row>
    <row r="6" spans="1:6" x14ac:dyDescent="0.3">
      <c r="A6" s="9" t="s">
        <v>421</v>
      </c>
      <c r="B6" s="9" t="s">
        <v>400</v>
      </c>
      <c r="C6" s="9" t="s">
        <v>422</v>
      </c>
      <c r="D6" s="9" t="s">
        <v>418</v>
      </c>
      <c r="E6" s="9" t="s">
        <v>423</v>
      </c>
      <c r="F6" s="9" t="s">
        <v>424</v>
      </c>
    </row>
    <row r="7" spans="1:6" x14ac:dyDescent="0.3">
      <c r="A7" s="9" t="s">
        <v>425</v>
      </c>
      <c r="B7" s="9" t="s">
        <v>406</v>
      </c>
      <c r="C7" s="9" t="s">
        <v>426</v>
      </c>
      <c r="D7" s="9" t="s">
        <v>427</v>
      </c>
      <c r="E7" s="9" t="s">
        <v>428</v>
      </c>
      <c r="F7" s="9" t="s">
        <v>429</v>
      </c>
    </row>
    <row r="8" spans="1:6" x14ac:dyDescent="0.3">
      <c r="A8" s="9" t="s">
        <v>430</v>
      </c>
      <c r="B8" s="9" t="s">
        <v>400</v>
      </c>
      <c r="C8" s="9" t="s">
        <v>431</v>
      </c>
      <c r="D8" s="9" t="s">
        <v>418</v>
      </c>
      <c r="E8" s="9" t="s">
        <v>432</v>
      </c>
      <c r="F8" s="9" t="s">
        <v>433</v>
      </c>
    </row>
  </sheetData>
  <autoFilter ref="A1:F8" xr:uid="{00000000-0009-0000-0000-000004000000}"/>
  <pageMargins left="0.25" right="0.25" top="0.5" bottom="0.5"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vt:lpstr>
      <vt:lpstr>Checklist</vt:lpstr>
      <vt:lpstr>Kỹ thuật báo cáo</vt:lpstr>
      <vt:lpstr>Test cases</vt:lpstr>
      <vt:lpstr>API contract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Khanh Ta</cp:lastModifiedBy>
  <dcterms:created xsi:type="dcterms:W3CDTF">2026-10-21T18:25:49Z</dcterms:created>
  <dcterms:modified xsi:type="dcterms:W3CDTF">2026-10-21T18:30:17Z</dcterms:modified>
</cp:coreProperties>
</file>